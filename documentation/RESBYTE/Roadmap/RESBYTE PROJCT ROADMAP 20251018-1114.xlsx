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neettawar/Desktop/Byte Ready /Project Dev /Project Control/"/>
    </mc:Choice>
  </mc:AlternateContent>
  <xr:revisionPtr revIDLastSave="0" documentId="13_ncr:1_{8FA42FA8-3FAC-D34A-92F7-88FCADF5ACA9}" xr6:coauthVersionLast="47" xr6:coauthVersionMax="47" xr10:uidLastSave="{00000000-0000-0000-0000-000000000000}"/>
  <bookViews>
    <workbookView xWindow="36260" yWindow="620" windowWidth="34400" windowHeight="18600" activeTab="1" xr2:uid="{6540EDBF-9B87-7F4B-8EB8-E9F0E0819B24}"/>
  </bookViews>
  <sheets>
    <sheet name="MIESTONES" sheetId="5" r:id="rId1"/>
    <sheet name="TASK FLOW " sheetId="11" r:id="rId2"/>
    <sheet name="TASKS" sheetId="10" r:id="rId3"/>
    <sheet name="Sheet2" sheetId="9" r:id="rId4"/>
    <sheet name="JOSEPH" sheetId="8" r:id="rId5"/>
    <sheet name="DELIVERABLES" sheetId="6" r:id="rId6"/>
    <sheet name="Sheet1" sheetId="7" r:id="rId7"/>
    <sheet name="OBJECTIVES" sheetId="3" r:id="rId8"/>
    <sheet name="AUGUST 15th" sheetId="1" r:id="rId9"/>
    <sheet name="AI ML " sheetId="2" r:id="rId10"/>
    <sheet name="DATA" sheetId="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7" l="1"/>
  <c r="I17" i="7"/>
  <c r="H17" i="7"/>
  <c r="F17" i="7"/>
  <c r="Q11" i="7"/>
  <c r="P11" i="7"/>
  <c r="N11" i="7"/>
  <c r="M11" i="7"/>
  <c r="I11" i="7"/>
  <c r="F11" i="7"/>
  <c r="I21" i="7" l="1"/>
</calcChain>
</file>

<file path=xl/sharedStrings.xml><?xml version="1.0" encoding="utf-8"?>
<sst xmlns="http://schemas.openxmlformats.org/spreadsheetml/2006/main" count="575" uniqueCount="457">
  <si>
    <t xml:space="preserve">DATA </t>
  </si>
  <si>
    <t>APP</t>
  </si>
  <si>
    <t xml:space="preserve">NCR API </t>
  </si>
  <si>
    <t xml:space="preserve">Historical Data </t>
  </si>
  <si>
    <t xml:space="preserve">OLO </t>
  </si>
  <si>
    <t>THANX</t>
  </si>
  <si>
    <t xml:space="preserve">Freedom Pay </t>
  </si>
  <si>
    <t xml:space="preserve">Live </t>
  </si>
  <si>
    <t xml:space="preserve">Historical </t>
  </si>
  <si>
    <t xml:space="preserve">VeraSet </t>
  </si>
  <si>
    <t xml:space="preserve">( Proximity Data ) </t>
  </si>
  <si>
    <t xml:space="preserve">DESIGN Module </t>
  </si>
  <si>
    <t xml:space="preserve">AI ML </t>
  </si>
  <si>
    <t xml:space="preserve">AI ML Agent </t>
  </si>
  <si>
    <t xml:space="preserve">Level 1 </t>
  </si>
  <si>
    <t xml:space="preserve">Identify customers with highest propensity to buy at certain time window ( 15 mins) </t>
  </si>
  <si>
    <t xml:space="preserve">Criteria </t>
  </si>
  <si>
    <t xml:space="preserve">Meal Type </t>
  </si>
  <si>
    <t xml:space="preserve">Time of purchase </t>
  </si>
  <si>
    <t xml:space="preserve">Sub criteria </t>
  </si>
  <si>
    <t xml:space="preserve">sort by/in order </t>
  </si>
  <si>
    <t xml:space="preserve">Frequency </t>
  </si>
  <si>
    <t xml:space="preserve">Latency </t>
  </si>
  <si>
    <t xml:space="preserve">Last=first </t>
  </si>
  <si>
    <t xml:space="preserve">highest # per month </t>
  </si>
  <si>
    <t xml:space="preserve">special </t>
  </si>
  <si>
    <t xml:space="preserve">( iMatch w Active specials only) </t>
  </si>
  <si>
    <t xml:space="preserve">Day of purchase </t>
  </si>
  <si>
    <t xml:space="preserve">PHASE-I </t>
  </si>
  <si>
    <t xml:space="preserve">PHASE-II </t>
  </si>
  <si>
    <t xml:space="preserve">Map Behavior </t>
  </si>
  <si>
    <t xml:space="preserve">Value </t>
  </si>
  <si>
    <t xml:space="preserve">Timing </t>
  </si>
  <si>
    <t xml:space="preserve">Interaction -digital </t>
  </si>
  <si>
    <t xml:space="preserve">typical Buying Behavior </t>
  </si>
  <si>
    <t xml:space="preserve">No of digital touchpoints </t>
  </si>
  <si>
    <t xml:space="preserve">Ave Value Per month- utlization % </t>
  </si>
  <si>
    <t xml:space="preserve">Proximity </t>
  </si>
  <si>
    <t xml:space="preserve">LocationVis A Store - time of day/ day of week </t>
  </si>
  <si>
    <t xml:space="preserve">Typical time of purchase </t>
  </si>
  <si>
    <t xml:space="preserve">RANK BEHAVIOR amongst all customer base </t>
  </si>
  <si>
    <t xml:space="preserve">CALCULATE BEST OFFER </t>
  </si>
  <si>
    <t xml:space="preserve">CALC STORE CAPACITY UTLIZATION % </t>
  </si>
  <si>
    <t xml:space="preserve">No of meals @ capacity </t>
  </si>
  <si>
    <t xml:space="preserve">PHASE-III </t>
  </si>
  <si>
    <t xml:space="preserve">AI DRIVEN ANALYSIS </t>
  </si>
  <si>
    <t xml:space="preserve">Propensity Phase I  </t>
  </si>
  <si>
    <t xml:space="preserve">AUGUST 1-8th </t>
  </si>
  <si>
    <t xml:space="preserve">AUGUST 11-15th </t>
  </si>
  <si>
    <t>AUGUST 17-22</t>
  </si>
  <si>
    <t xml:space="preserve">AUGUST 24-29th </t>
  </si>
  <si>
    <t>DASHBOARDS</t>
  </si>
  <si>
    <t xml:space="preserve">Segments </t>
  </si>
  <si>
    <t xml:space="preserve">Sales by Meal Type </t>
  </si>
  <si>
    <t xml:space="preserve">LIVE </t>
  </si>
  <si>
    <t>TEST</t>
  </si>
  <si>
    <t xml:space="preserve">Transunion DATA </t>
  </si>
  <si>
    <t xml:space="preserve">Voice Activation </t>
  </si>
  <si>
    <t xml:space="preserve">Publishing Module </t>
  </si>
  <si>
    <t xml:space="preserve">Propensity Phase -II </t>
  </si>
  <si>
    <t xml:space="preserve">GEN AI </t>
  </si>
  <si>
    <t xml:space="preserve">Design Module content generation </t>
  </si>
  <si>
    <t xml:space="preserve">NCR COUPONING MODULE INTEGRATION </t>
  </si>
  <si>
    <t xml:space="preserve">( Dtls next tab) </t>
  </si>
  <si>
    <t xml:space="preserve">WEB SITE PIXEL </t>
  </si>
  <si>
    <t xml:space="preserve">APP PIXEL </t>
  </si>
  <si>
    <t xml:space="preserve">Installed on LA Mad </t>
  </si>
  <si>
    <t xml:space="preserve">SNOWFLKE INTELLIGENCE </t>
  </si>
  <si>
    <t xml:space="preserve">Ask Sigma </t>
  </si>
  <si>
    <t xml:space="preserve">OBJECTIVES </t>
  </si>
  <si>
    <t>AUG 15th</t>
  </si>
  <si>
    <t xml:space="preserve">Dashboards </t>
  </si>
  <si>
    <t xml:space="preserve">Daily Sales Performance </t>
  </si>
  <si>
    <t xml:space="preserve">Items </t>
  </si>
  <si>
    <t xml:space="preserve">Promos </t>
  </si>
  <si>
    <t xml:space="preserve">1st Flight Campaign </t>
  </si>
  <si>
    <t xml:space="preserve">Delivery </t>
  </si>
  <si>
    <t xml:space="preserve">Latent custoers </t>
  </si>
  <si>
    <t xml:space="preserve">3rd Sept </t>
  </si>
  <si>
    <t xml:space="preserve">II nd Flight </t>
  </si>
  <si>
    <t xml:space="preserve">High Value </t>
  </si>
  <si>
    <t xml:space="preserve">Latent </t>
  </si>
  <si>
    <t xml:space="preserve">Meta </t>
  </si>
  <si>
    <t xml:space="preserve">Google </t>
  </si>
  <si>
    <t>email</t>
  </si>
  <si>
    <t xml:space="preserve">SMS </t>
  </si>
  <si>
    <t xml:space="preserve">System Set up </t>
  </si>
  <si>
    <t xml:space="preserve">System Security </t>
  </si>
  <si>
    <t xml:space="preserve">Username/passwords </t>
  </si>
  <si>
    <t xml:space="preserve">DESIGN _ SIGMA / STOR </t>
  </si>
  <si>
    <t xml:space="preserve">PII </t>
  </si>
  <si>
    <t xml:space="preserve">Full Enrichment w Acuity </t>
  </si>
  <si>
    <t xml:space="preserve">Location Level Access </t>
  </si>
  <si>
    <t xml:space="preserve">Email Server </t>
  </si>
  <si>
    <t xml:space="preserve">w Local Data </t>
  </si>
  <si>
    <t xml:space="preserve">Creative Module </t>
  </si>
  <si>
    <t xml:space="preserve">AI - 1st cut </t>
  </si>
  <si>
    <t>Tracking - Behavioral Dashboard</t>
  </si>
  <si>
    <t xml:space="preserve">Publishing - API S </t>
  </si>
  <si>
    <t xml:space="preserve">Best Sellors </t>
  </si>
  <si>
    <t xml:space="preserve">NCR _ Couponing Set up </t>
  </si>
  <si>
    <t xml:space="preserve">Location </t>
  </si>
  <si>
    <t>Eljay- Jason ?</t>
  </si>
  <si>
    <t xml:space="preserve">Infra servers + back ups </t>
  </si>
  <si>
    <t xml:space="preserve">Y </t>
  </si>
  <si>
    <t xml:space="preserve">Code transfer </t>
  </si>
  <si>
    <t>Pritpal</t>
  </si>
  <si>
    <t>J rev</t>
  </si>
  <si>
    <t xml:space="preserve">Eljay </t>
  </si>
  <si>
    <t>Veraset</t>
  </si>
  <si>
    <t xml:space="preserve">Corporate </t>
  </si>
  <si>
    <t xml:space="preserve">Parminder </t>
  </si>
  <si>
    <t xml:space="preserve">Jason to OK </t>
  </si>
  <si>
    <t>Snowflake - Intel</t>
  </si>
  <si>
    <t>7 days</t>
  </si>
  <si>
    <t>Joseph /jason</t>
  </si>
  <si>
    <t>API access / Patrick 1 week</t>
  </si>
  <si>
    <t xml:space="preserve">Live data / Historical </t>
  </si>
  <si>
    <t>Patrick</t>
  </si>
  <si>
    <t xml:space="preserve">PCI Compliance </t>
  </si>
  <si>
    <t>Data warehouse access</t>
  </si>
  <si>
    <t xml:space="preserve">E Comm instalation </t>
  </si>
  <si>
    <t>Thanx</t>
  </si>
  <si>
    <t xml:space="preserve">API </t>
  </si>
  <si>
    <t xml:space="preserve">1 Click buy </t>
  </si>
  <si>
    <t>DATA</t>
  </si>
  <si>
    <t xml:space="preserve">ID Resolution </t>
  </si>
  <si>
    <t xml:space="preserve">Match w Purchase </t>
  </si>
  <si>
    <t xml:space="preserve">AI Tool to match Transaction w Profiles </t>
  </si>
  <si>
    <t>I</t>
  </si>
  <si>
    <t xml:space="preserve">Daily Customers </t>
  </si>
  <si>
    <t xml:space="preserve">New </t>
  </si>
  <si>
    <t>Cold Email ?</t>
  </si>
  <si>
    <t xml:space="preserve">AI Model </t>
  </si>
  <si>
    <t xml:space="preserve">Lists </t>
  </si>
  <si>
    <t xml:space="preserve">19th  SEPTEMBER </t>
  </si>
  <si>
    <t xml:space="preserve">12th SEPTEMBER </t>
  </si>
  <si>
    <t xml:space="preserve">5th SEPTEMBER </t>
  </si>
  <si>
    <t xml:space="preserve">29th AUGUST </t>
  </si>
  <si>
    <t xml:space="preserve">DASHBOARDS </t>
  </si>
  <si>
    <t xml:space="preserve">DATA  set up </t>
  </si>
  <si>
    <t xml:space="preserve">PUBLICATIONS </t>
  </si>
  <si>
    <t xml:space="preserve">CREATIVE </t>
  </si>
  <si>
    <t xml:space="preserve">28th August </t>
  </si>
  <si>
    <t xml:space="preserve">27th August </t>
  </si>
  <si>
    <t xml:space="preserve">4th Sept </t>
  </si>
  <si>
    <t xml:space="preserve">2nd Sept </t>
  </si>
  <si>
    <t xml:space="preserve">Store Level </t>
  </si>
  <si>
    <t xml:space="preserve">Marketing </t>
  </si>
  <si>
    <t xml:space="preserve">FREEDOM </t>
  </si>
  <si>
    <t>NCR</t>
  </si>
  <si>
    <t>EMAIL</t>
  </si>
  <si>
    <t>SMS</t>
  </si>
  <si>
    <t xml:space="preserve">Ad Creation Module </t>
  </si>
  <si>
    <t xml:space="preserve">Sample Email Campaign </t>
  </si>
  <si>
    <t>PIXEL</t>
  </si>
  <si>
    <t xml:space="preserve">First Flight ADS - </t>
  </si>
  <si>
    <t xml:space="preserve">Internal Training </t>
  </si>
  <si>
    <t xml:space="preserve">Client Training </t>
  </si>
  <si>
    <t xml:space="preserve">SCALE Campaign w Data </t>
  </si>
  <si>
    <t xml:space="preserve">AI ML Model </t>
  </si>
  <si>
    <t xml:space="preserve">Active Publication </t>
  </si>
  <si>
    <t xml:space="preserve">First Creative Library </t>
  </si>
  <si>
    <t xml:space="preserve">Client Lists by Propensity </t>
  </si>
  <si>
    <t xml:space="preserve">CONTROL </t>
  </si>
  <si>
    <t xml:space="preserve">Credentials to Client  </t>
  </si>
  <si>
    <t xml:space="preserve">Mongo DB Transition </t>
  </si>
  <si>
    <t xml:space="preserve">Asset manager - internal training </t>
  </si>
  <si>
    <t xml:space="preserve">Ad Creation Module - staging </t>
  </si>
  <si>
    <t xml:space="preserve">Email Distribution </t>
  </si>
  <si>
    <t xml:space="preserve">Email Distribution Tests  </t>
  </si>
  <si>
    <t>Ad tagging - w builder</t>
  </si>
  <si>
    <t xml:space="preserve">SEGMENT - Publication </t>
  </si>
  <si>
    <t xml:space="preserve">Google API </t>
  </si>
  <si>
    <t xml:space="preserve">META - API </t>
  </si>
  <si>
    <t xml:space="preserve">E COMMERCE </t>
  </si>
  <si>
    <t xml:space="preserve">1 CLICK BUY </t>
  </si>
  <si>
    <t xml:space="preserve">IN Store </t>
  </si>
  <si>
    <t xml:space="preserve">QR Code </t>
  </si>
  <si>
    <t xml:space="preserve">AI MODULE </t>
  </si>
  <si>
    <t xml:space="preserve">LTV MODULE </t>
  </si>
  <si>
    <t xml:space="preserve">1 click buy </t>
  </si>
  <si>
    <t xml:space="preserve">DATA  RE ORG - ELJAY </t>
  </si>
  <si>
    <t>Purchase Triggers w Preferences</t>
  </si>
  <si>
    <t xml:space="preserve">Audience Sets w Enriched Data </t>
  </si>
  <si>
    <t xml:space="preserve">LTV Growth MODULE </t>
  </si>
  <si>
    <t xml:space="preserve">5th SEPT </t>
  </si>
  <si>
    <t xml:space="preserve">9th SEPT </t>
  </si>
  <si>
    <t xml:space="preserve">10th SEPT </t>
  </si>
  <si>
    <t xml:space="preserve">12 th SEPT </t>
  </si>
  <si>
    <t xml:space="preserve">15th SEPT </t>
  </si>
  <si>
    <t xml:space="preserve">17th SEPT </t>
  </si>
  <si>
    <t xml:space="preserve">19th SEPT </t>
  </si>
  <si>
    <t>24th SEPT</t>
  </si>
  <si>
    <t xml:space="preserve">22ND SEPT </t>
  </si>
  <si>
    <t xml:space="preserve">26th SEPT </t>
  </si>
  <si>
    <t xml:space="preserve">30th SEPT </t>
  </si>
  <si>
    <t xml:space="preserve">Asset Manager w images </t>
  </si>
  <si>
    <t xml:space="preserve">Images - Resized for Digital </t>
  </si>
  <si>
    <t xml:space="preserve">Images without Background </t>
  </si>
  <si>
    <t xml:space="preserve">AD Creation module </t>
  </si>
  <si>
    <t xml:space="preserve">w BRAND GUIDELINES </t>
  </si>
  <si>
    <t xml:space="preserve">Audience Sets w 1- Time 2- value- 3 item 4- Id HASHTAGS </t>
  </si>
  <si>
    <t xml:space="preserve">Emails </t>
  </si>
  <si>
    <t xml:space="preserve">Google Ads </t>
  </si>
  <si>
    <t xml:space="preserve">Insta </t>
  </si>
  <si>
    <t xml:space="preserve">FB Ads </t>
  </si>
  <si>
    <t xml:space="preserve">1st Campaigns </t>
  </si>
  <si>
    <t xml:space="preserve">Live Ads version </t>
  </si>
  <si>
    <t xml:space="preserve">first 100 ORDERS </t>
  </si>
  <si>
    <t xml:space="preserve">First 1000 customers - recovered </t>
  </si>
  <si>
    <t xml:space="preserve">LTV GROWTH MODULE </t>
  </si>
  <si>
    <t xml:space="preserve">functioning w Audience selection </t>
  </si>
  <si>
    <t xml:space="preserve">AI Loyalty Module </t>
  </si>
  <si>
    <t xml:space="preserve">First 10,000 transactioms </t>
  </si>
  <si>
    <t xml:space="preserve">1 click Landing pages for conversion </t>
  </si>
  <si>
    <t xml:space="preserve">CREATIVE DELIVERY </t>
  </si>
  <si>
    <t xml:space="preserve">LAMAD DELIVERABLES </t>
  </si>
  <si>
    <t xml:space="preserve">Promo LOGIC </t>
  </si>
  <si>
    <t xml:space="preserve">LTV Based discount </t>
  </si>
  <si>
    <t xml:space="preserve">Capacity Based Discount </t>
  </si>
  <si>
    <t xml:space="preserve">windows </t>
  </si>
  <si>
    <t xml:space="preserve">7 days </t>
  </si>
  <si>
    <t xml:space="preserve">30 days </t>
  </si>
  <si>
    <t xml:space="preserve">PIXELS </t>
  </si>
  <si>
    <t xml:space="preserve">Web Site </t>
  </si>
  <si>
    <t xml:space="preserve"> E Comm</t>
  </si>
  <si>
    <t xml:space="preserve">1 Click Buy Integration </t>
  </si>
  <si>
    <t xml:space="preserve">JOSEPH </t>
  </si>
  <si>
    <t xml:space="preserve">15-17th </t>
  </si>
  <si>
    <t xml:space="preserve">Schema -Behavioral </t>
  </si>
  <si>
    <t xml:space="preserve">Set up </t>
  </si>
  <si>
    <t xml:space="preserve">Patrick </t>
  </si>
  <si>
    <t xml:space="preserve">Google/Meta  API s </t>
  </si>
  <si>
    <t xml:space="preserve">Client Access </t>
  </si>
  <si>
    <t xml:space="preserve">FINAL CHECKLIST </t>
  </si>
  <si>
    <t>Customer Access</t>
  </si>
  <si>
    <t xml:space="preserve">Asset Manager </t>
  </si>
  <si>
    <t xml:space="preserve">Ad Creator Module </t>
  </si>
  <si>
    <t xml:space="preserve">Ad Generator </t>
  </si>
  <si>
    <t xml:space="preserve">Publishing Channels </t>
  </si>
  <si>
    <t xml:space="preserve">Email </t>
  </si>
  <si>
    <t>MMS</t>
  </si>
  <si>
    <t xml:space="preserve">Data </t>
  </si>
  <si>
    <t xml:space="preserve">Freedom </t>
  </si>
  <si>
    <t>Olo</t>
  </si>
  <si>
    <t xml:space="preserve">Acuity PIXEL </t>
  </si>
  <si>
    <t>E comm</t>
  </si>
  <si>
    <t xml:space="preserve">PAYMENT </t>
  </si>
  <si>
    <t xml:space="preserve">STRIPE </t>
  </si>
  <si>
    <t xml:space="preserve">Invoicing Setup </t>
  </si>
  <si>
    <t xml:space="preserve">Responsibility </t>
  </si>
  <si>
    <t xml:space="preserve">Next Action </t>
  </si>
  <si>
    <t>Sign off 1</t>
  </si>
  <si>
    <t xml:space="preserve">Sign Off 2 </t>
  </si>
  <si>
    <t xml:space="preserve">Provide Logic </t>
  </si>
  <si>
    <t xml:space="preserve">Personalized Profile- content allocation </t>
  </si>
  <si>
    <t xml:space="preserve">Jason </t>
  </si>
  <si>
    <t xml:space="preserve">PT </t>
  </si>
  <si>
    <t>Jason</t>
  </si>
  <si>
    <t>Joseph</t>
  </si>
  <si>
    <t>PT</t>
  </si>
  <si>
    <t xml:space="preserve">Logic </t>
  </si>
  <si>
    <t>?</t>
  </si>
  <si>
    <t>API</t>
  </si>
  <si>
    <t xml:space="preserve">INFRA </t>
  </si>
  <si>
    <t xml:space="preserve">Backups </t>
  </si>
  <si>
    <t xml:space="preserve">Jason to confirm </t>
  </si>
  <si>
    <t xml:space="preserve">usernames to Parminder - PT </t>
  </si>
  <si>
    <t xml:space="preserve">Seperation- primary- Add ons </t>
  </si>
  <si>
    <t>Prminder</t>
  </si>
  <si>
    <t xml:space="preserve">1st Set of sample ads for LA mAd Templates creation </t>
  </si>
  <si>
    <t xml:space="preserve">Rick </t>
  </si>
  <si>
    <t xml:space="preserve">Shashi </t>
  </si>
  <si>
    <t xml:space="preserve">Price Logic </t>
  </si>
  <si>
    <t xml:space="preserve">Design logic </t>
  </si>
  <si>
    <t>Pt</t>
  </si>
  <si>
    <t xml:space="preserve">MENU - AD ONS </t>
  </si>
  <si>
    <t xml:space="preserve">Test Kets </t>
  </si>
  <si>
    <t xml:space="preserve">Complete </t>
  </si>
  <si>
    <t>Thankx</t>
  </si>
  <si>
    <t>Eljay ?</t>
  </si>
  <si>
    <t>OLO - Full Data access</t>
  </si>
  <si>
    <t>LAMAD</t>
  </si>
  <si>
    <t xml:space="preserve">Data Destination </t>
  </si>
  <si>
    <t xml:space="preserve">Creds to Parminder </t>
  </si>
  <si>
    <t>??</t>
  </si>
  <si>
    <t xml:space="preserve">25th SEPT </t>
  </si>
  <si>
    <t xml:space="preserve">Calc frm PT </t>
  </si>
  <si>
    <t xml:space="preserve">Stripe + Email </t>
  </si>
  <si>
    <t xml:space="preserve">Packages instalation </t>
  </si>
  <si>
    <t xml:space="preserve">PRITPAL to sign off </t>
  </si>
  <si>
    <t xml:space="preserve">19th Sept </t>
  </si>
  <si>
    <t xml:space="preserve">TODAY </t>
  </si>
  <si>
    <t xml:space="preserve">DATA by Store </t>
  </si>
  <si>
    <t xml:space="preserve">AI ML MODEL Demo </t>
  </si>
  <si>
    <t xml:space="preserve">ADMIN </t>
  </si>
  <si>
    <t>PENDING TASKS LIST</t>
  </si>
  <si>
    <t>updated 251014</t>
  </si>
  <si>
    <t xml:space="preserve">Data Dashboards </t>
  </si>
  <si>
    <t xml:space="preserve">Sigma- Sales number show - July data </t>
  </si>
  <si>
    <t>D1</t>
  </si>
  <si>
    <t>D2</t>
  </si>
  <si>
    <t xml:space="preserve">Segments- Uncertain if all segments are updating </t>
  </si>
  <si>
    <t>D3</t>
  </si>
  <si>
    <t xml:space="preserve">Segments- First Time customer segments- PIXEL iNstalation on Web site - </t>
  </si>
  <si>
    <t xml:space="preserve">Pixel from Acuity </t>
  </si>
  <si>
    <t xml:space="preserve">Q reg parameters </t>
  </si>
  <si>
    <t xml:space="preserve">End point to Acuiity to build a pixel </t>
  </si>
  <si>
    <t xml:space="preserve">D4 </t>
  </si>
  <si>
    <t xml:space="preserve">NCR- Web hook to get daily data flow into Snowflake ( S3) Resbyte </t>
  </si>
  <si>
    <t>D5</t>
  </si>
  <si>
    <t xml:space="preserve">Freedom Pay - Historical Data dump </t>
  </si>
  <si>
    <t xml:space="preserve">D6 </t>
  </si>
  <si>
    <t xml:space="preserve">THANX data </t>
  </si>
  <si>
    <t xml:space="preserve">go from daily dumps to live API </t>
  </si>
  <si>
    <t xml:space="preserve">D7 </t>
  </si>
  <si>
    <t xml:space="preserve">NCR-Freedom pay - data connectivity at source- Connect consumer data to actual transactions </t>
  </si>
  <si>
    <t>D8</t>
  </si>
  <si>
    <t xml:space="preserve">Acuity </t>
  </si>
  <si>
    <t xml:space="preserve">Data ID Resolution rates </t>
  </si>
  <si>
    <t xml:space="preserve">Data Enrichment </t>
  </si>
  <si>
    <t>D9</t>
  </si>
  <si>
    <t xml:space="preserve">E Commerce </t>
  </si>
  <si>
    <t>E1</t>
  </si>
  <si>
    <t xml:space="preserve">Landing Pages w Items - Dynamic </t>
  </si>
  <si>
    <t>E2</t>
  </si>
  <si>
    <t xml:space="preserve">Integration with  OLO </t>
  </si>
  <si>
    <t xml:space="preserve">call at 4 PM EST </t>
  </si>
  <si>
    <t>E3</t>
  </si>
  <si>
    <t xml:space="preserve">Coupon at NCR </t>
  </si>
  <si>
    <t xml:space="preserve">call w PATRICK _ expected 10/15 </t>
  </si>
  <si>
    <t>E5</t>
  </si>
  <si>
    <t xml:space="preserve">M1 </t>
  </si>
  <si>
    <t xml:space="preserve">Marketing  Mgmnt </t>
  </si>
  <si>
    <t xml:space="preserve">Audience set up w past purchase </t>
  </si>
  <si>
    <t>265k</t>
  </si>
  <si>
    <t>M2</t>
  </si>
  <si>
    <t xml:space="preserve">Emails set up in Profiles </t>
  </si>
  <si>
    <t xml:space="preserve">AI Agent Sorting </t>
  </si>
  <si>
    <t>M3</t>
  </si>
  <si>
    <t xml:space="preserve">Behavioral triggers </t>
  </si>
  <si>
    <t xml:space="preserve">AI Agent logic </t>
  </si>
  <si>
    <t>M4</t>
  </si>
  <si>
    <t xml:space="preserve">to be discussed </t>
  </si>
  <si>
    <t xml:space="preserve">DataEng to confirm </t>
  </si>
  <si>
    <t xml:space="preserve">User Name / pswrds for Corporate </t>
  </si>
  <si>
    <t>A1</t>
  </si>
  <si>
    <t xml:space="preserve">A2 </t>
  </si>
  <si>
    <t xml:space="preserve">Store level access set up </t>
  </si>
  <si>
    <t xml:space="preserve">A3 </t>
  </si>
  <si>
    <t xml:space="preserve">24/7 support - </t>
  </si>
  <si>
    <t xml:space="preserve">MMS set up </t>
  </si>
  <si>
    <t>Jason to confirm</t>
  </si>
  <si>
    <t xml:space="preserve">M5 </t>
  </si>
  <si>
    <t xml:space="preserve">MMS Template approvals </t>
  </si>
  <si>
    <t>Kristion to confirm - 10/16</t>
  </si>
  <si>
    <t>M6</t>
  </si>
  <si>
    <t xml:space="preserve">META API Set up </t>
  </si>
  <si>
    <t xml:space="preserve">Mathias to review back end </t>
  </si>
  <si>
    <t>M7</t>
  </si>
  <si>
    <t xml:space="preserve">Google API set up </t>
  </si>
  <si>
    <t xml:space="preserve">Mathias to confirm after review </t>
  </si>
  <si>
    <t xml:space="preserve">Prokopto set up and testing </t>
  </si>
  <si>
    <t>Ingestion</t>
  </si>
  <si>
    <t xml:space="preserve">transformation </t>
  </si>
  <si>
    <t xml:space="preserve">Presentation </t>
  </si>
  <si>
    <t>Kanopi</t>
  </si>
  <si>
    <t xml:space="preserve">Web Hook </t>
  </si>
  <si>
    <t>Web hook from NCR to SF</t>
  </si>
  <si>
    <t xml:space="preserve">Data Transfer </t>
  </si>
  <si>
    <t xml:space="preserve">API Set up </t>
  </si>
  <si>
    <t xml:space="preserve">Brian </t>
  </si>
  <si>
    <t xml:space="preserve">KANOPI </t>
  </si>
  <si>
    <t xml:space="preserve">Pixel Details to Acuity </t>
  </si>
  <si>
    <t>Pixel installed and tested</t>
  </si>
  <si>
    <t>Brian</t>
  </si>
  <si>
    <t xml:space="preserve">Consumer IDS Resolution  </t>
  </si>
  <si>
    <t xml:space="preserve">Consumer ID s enrichment </t>
  </si>
  <si>
    <t xml:space="preserve">DATA TRANSFORMATION </t>
  </si>
  <si>
    <t xml:space="preserve">Consumer IDS Resolution-Process Tests   </t>
  </si>
  <si>
    <t xml:space="preserve">Data Run </t>
  </si>
  <si>
    <t xml:space="preserve">Store View </t>
  </si>
  <si>
    <t xml:space="preserve">Data Flow </t>
  </si>
  <si>
    <t>Jason/Pritplal</t>
  </si>
  <si>
    <t xml:space="preserve">PRESENTATION </t>
  </si>
  <si>
    <t xml:space="preserve">( presentation layer interruptions )_ </t>
  </si>
  <si>
    <t xml:space="preserve">Presentation Interruptions </t>
  </si>
  <si>
    <t xml:space="preserve">STORE VIEW </t>
  </si>
  <si>
    <t xml:space="preserve">Design </t>
  </si>
  <si>
    <t xml:space="preserve">Front End Set up </t>
  </si>
  <si>
    <t xml:space="preserve">Suntech ? </t>
  </si>
  <si>
    <t>Permissions</t>
  </si>
  <si>
    <t xml:space="preserve">Suntech </t>
  </si>
  <si>
    <t xml:space="preserve">MEDIA </t>
  </si>
  <si>
    <t xml:space="preserve">Emailers </t>
  </si>
  <si>
    <t>Insta</t>
  </si>
  <si>
    <t xml:space="preserve">Facebook </t>
  </si>
  <si>
    <t xml:space="preserve">CTV ( Tradedesk) </t>
  </si>
  <si>
    <t xml:space="preserve">Set up and Testing </t>
  </si>
  <si>
    <t xml:space="preserve">Template Imntegration </t>
  </si>
  <si>
    <t xml:space="preserve">Cluster Set up </t>
  </si>
  <si>
    <t xml:space="preserve">Content Library </t>
  </si>
  <si>
    <t xml:space="preserve">Content Verification </t>
  </si>
  <si>
    <t xml:space="preserve">Kristin </t>
  </si>
  <si>
    <t>Matthias ( ?)</t>
  </si>
  <si>
    <t xml:space="preserve">Decision </t>
  </si>
  <si>
    <t xml:space="preserve">API Test Date </t>
  </si>
  <si>
    <t xml:space="preserve">API launch date </t>
  </si>
  <si>
    <t xml:space="preserve">TBD </t>
  </si>
  <si>
    <t xml:space="preserve">Code Only Set up </t>
  </si>
  <si>
    <t xml:space="preserve">Landing Page Set up </t>
  </si>
  <si>
    <t xml:space="preserve">w OLO </t>
  </si>
  <si>
    <t xml:space="preserve">Instore Set up </t>
  </si>
  <si>
    <t xml:space="preserve">Fishbowl Codes </t>
  </si>
  <si>
    <t xml:space="preserve">ECOMMERCE </t>
  </si>
  <si>
    <t xml:space="preserve">Codes set up in templates </t>
  </si>
  <si>
    <t xml:space="preserve">Fishbowl codes </t>
  </si>
  <si>
    <t xml:space="preserve">Codes - Fishbowl/NCR </t>
  </si>
  <si>
    <t xml:space="preserve">Brian- Patrick </t>
  </si>
  <si>
    <t xml:space="preserve">SIGMA-STOR </t>
  </si>
  <si>
    <t>I132C92C92:I135</t>
  </si>
  <si>
    <t xml:space="preserve">Desgn - React </t>
  </si>
  <si>
    <t xml:space="preserve">Suntech ( ?) </t>
  </si>
  <si>
    <t xml:space="preserve">Code Only Set up- Delivery  </t>
  </si>
  <si>
    <t xml:space="preserve">Code Only Set up- Instore   </t>
  </si>
  <si>
    <t xml:space="preserve">Fishbowl/NCR </t>
  </si>
  <si>
    <t xml:space="preserve">RESBYTE.AI </t>
  </si>
  <si>
    <t xml:space="preserve">Site Language / text </t>
  </si>
  <si>
    <t xml:space="preserve">USER Permisions </t>
  </si>
  <si>
    <t xml:space="preserve">Review all pages </t>
  </si>
  <si>
    <t xml:space="preserve">AI Loyalty Page </t>
  </si>
  <si>
    <t xml:space="preserve">LTV Growth Page </t>
  </si>
  <si>
    <t xml:space="preserve">RESBYTE.AI WEB SITE Mgmnt </t>
  </si>
  <si>
    <t>Prokopto</t>
  </si>
  <si>
    <t xml:space="preserve">Site Management -uptimne </t>
  </si>
  <si>
    <t xml:space="preserve">Payment / Invoicing </t>
  </si>
  <si>
    <t xml:space="preserve">USER PERMISSION s </t>
  </si>
  <si>
    <t xml:space="preserve">Admin Module </t>
  </si>
  <si>
    <t xml:space="preserve">Testing </t>
  </si>
  <si>
    <t>TBD</t>
  </si>
  <si>
    <t xml:space="preserve">NCR </t>
  </si>
  <si>
    <t xml:space="preserve">customer id data </t>
  </si>
  <si>
    <t xml:space="preserve">delivery data </t>
  </si>
  <si>
    <t>E coom , loyalty, app</t>
  </si>
  <si>
    <t xml:space="preserve">Acuity Pixel Set up </t>
  </si>
  <si>
    <t xml:space="preserve">Sigma -STOR </t>
  </si>
  <si>
    <t xml:space="preserve">MEDIA /Publication </t>
  </si>
  <si>
    <t>Pixel to Lamad- Patrick</t>
  </si>
  <si>
    <t xml:space="preserve">Permissions Module Test </t>
  </si>
  <si>
    <t xml:space="preserve">Stored Procedures </t>
  </si>
  <si>
    <t>Suntech ?</t>
  </si>
  <si>
    <t xml:space="preserve">Set up and tested </t>
  </si>
  <si>
    <t xml:space="preserve">PT to set up </t>
  </si>
  <si>
    <t xml:space="preserve">OLO - Integration </t>
  </si>
  <si>
    <t xml:space="preserve">PT - BRIAN </t>
  </si>
  <si>
    <t xml:space="preserve">Follow up call for permission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</si>
</sst>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8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3" borderId="0" xfId="0" applyFill="1"/>
    <xf numFmtId="0" fontId="0" fillId="14" borderId="0" xfId="0" applyFill="1" applyAlignment="1">
      <alignment wrapText="1"/>
    </xf>
    <xf numFmtId="0" fontId="0" fillId="14" borderId="0" xfId="0" applyFill="1"/>
    <xf numFmtId="43" fontId="0" fillId="0" borderId="0" xfId="1" applyFont="1"/>
    <xf numFmtId="164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6" fontId="0" fillId="0" borderId="0" xfId="0" applyNumberFormat="1"/>
    <xf numFmtId="0" fontId="2" fillId="0" borderId="0" xfId="0" applyFont="1"/>
    <xf numFmtId="0" fontId="0" fillId="15" borderId="0" xfId="0" applyFill="1"/>
    <xf numFmtId="0" fontId="2" fillId="0" borderId="0" xfId="0" applyFont="1" applyAlignment="1">
      <alignment wrapText="1"/>
    </xf>
    <xf numFmtId="16" fontId="2" fillId="0" borderId="0" xfId="0" applyNumberFormat="1" applyFont="1"/>
    <xf numFmtId="0" fontId="0" fillId="12" borderId="0" xfId="0" applyFill="1"/>
    <xf numFmtId="16" fontId="0" fillId="3" borderId="0" xfId="0" applyNumberFormat="1" applyFill="1"/>
    <xf numFmtId="16" fontId="0" fillId="15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CC03-5FA5-F84F-9681-E5247F4C8130}">
  <dimension ref="C2:T30"/>
  <sheetViews>
    <sheetView topLeftCell="B12" zoomScale="125" workbookViewId="0">
      <selection activeCell="K11" sqref="K11"/>
    </sheetView>
  </sheetViews>
  <sheetFormatPr baseColWidth="10" defaultRowHeight="16" x14ac:dyDescent="0.2"/>
  <cols>
    <col min="3" max="3" width="16" customWidth="1"/>
  </cols>
  <sheetData>
    <row r="2" spans="3:20" x14ac:dyDescent="0.2">
      <c r="E2" t="s">
        <v>164</v>
      </c>
    </row>
    <row r="4" spans="3:20" ht="34" x14ac:dyDescent="0.2">
      <c r="E4" s="1" t="s">
        <v>135</v>
      </c>
      <c r="H4" s="1" t="s">
        <v>136</v>
      </c>
      <c r="K4" s="1" t="s">
        <v>137</v>
      </c>
      <c r="L4" t="s">
        <v>145</v>
      </c>
      <c r="M4" t="s">
        <v>78</v>
      </c>
      <c r="N4" t="s">
        <v>146</v>
      </c>
      <c r="P4" s="1" t="s">
        <v>138</v>
      </c>
      <c r="R4" t="s">
        <v>143</v>
      </c>
      <c r="T4" s="1" t="s">
        <v>144</v>
      </c>
    </row>
    <row r="7" spans="3:20" ht="34" x14ac:dyDescent="0.2">
      <c r="C7" s="1" t="s">
        <v>139</v>
      </c>
      <c r="H7" s="19" t="s">
        <v>147</v>
      </c>
      <c r="K7" s="1" t="s">
        <v>165</v>
      </c>
      <c r="L7" s="19" t="s">
        <v>110</v>
      </c>
      <c r="N7" s="19" t="s">
        <v>148</v>
      </c>
    </row>
    <row r="10" spans="3:20" x14ac:dyDescent="0.2">
      <c r="C10" t="s">
        <v>140</v>
      </c>
      <c r="I10" t="s">
        <v>149</v>
      </c>
      <c r="K10" t="s">
        <v>150</v>
      </c>
    </row>
    <row r="11" spans="3:20" x14ac:dyDescent="0.2">
      <c r="K11" t="s">
        <v>6</v>
      </c>
      <c r="L11" t="s">
        <v>155</v>
      </c>
    </row>
    <row r="12" spans="3:20" ht="68" x14ac:dyDescent="0.2">
      <c r="C12" t="s">
        <v>182</v>
      </c>
      <c r="J12" s="1" t="s">
        <v>184</v>
      </c>
      <c r="K12" s="1" t="s">
        <v>183</v>
      </c>
    </row>
    <row r="15" spans="3:20" x14ac:dyDescent="0.2">
      <c r="C15" t="s">
        <v>141</v>
      </c>
      <c r="F15" t="s">
        <v>173</v>
      </c>
      <c r="H15" t="s">
        <v>174</v>
      </c>
      <c r="L15" t="s">
        <v>152</v>
      </c>
      <c r="M15" t="s">
        <v>151</v>
      </c>
    </row>
    <row r="16" spans="3:20" ht="34" x14ac:dyDescent="0.2">
      <c r="H16" s="1" t="s">
        <v>172</v>
      </c>
    </row>
    <row r="17" spans="3:18" ht="51" x14ac:dyDescent="0.2">
      <c r="I17" s="1" t="s">
        <v>156</v>
      </c>
      <c r="K17" s="18" t="s">
        <v>159</v>
      </c>
      <c r="M17" s="18" t="s">
        <v>154</v>
      </c>
    </row>
    <row r="18" spans="3:18" ht="51" x14ac:dyDescent="0.2">
      <c r="C18" t="s">
        <v>160</v>
      </c>
      <c r="K18" s="1" t="s">
        <v>161</v>
      </c>
      <c r="N18" s="17" t="s">
        <v>163</v>
      </c>
      <c r="P18" s="20" t="s">
        <v>157</v>
      </c>
    </row>
    <row r="19" spans="3:18" ht="68" x14ac:dyDescent="0.2">
      <c r="C19" t="s">
        <v>142</v>
      </c>
      <c r="J19" s="21" t="s">
        <v>169</v>
      </c>
      <c r="K19" t="s">
        <v>181</v>
      </c>
      <c r="L19" s="20" t="s">
        <v>170</v>
      </c>
      <c r="N19" s="20" t="s">
        <v>153</v>
      </c>
      <c r="P19" s="1" t="s">
        <v>167</v>
      </c>
    </row>
    <row r="20" spans="3:18" ht="34" x14ac:dyDescent="0.2">
      <c r="J20" s="22" t="s">
        <v>180</v>
      </c>
      <c r="K20" s="22" t="s">
        <v>179</v>
      </c>
      <c r="L20" s="20" t="s">
        <v>171</v>
      </c>
      <c r="N20" s="17" t="s">
        <v>158</v>
      </c>
      <c r="R20" s="1"/>
    </row>
    <row r="21" spans="3:18" ht="51" x14ac:dyDescent="0.2">
      <c r="M21" s="16" t="s">
        <v>162</v>
      </c>
      <c r="P21" s="20" t="s">
        <v>168</v>
      </c>
    </row>
    <row r="23" spans="3:18" ht="34" x14ac:dyDescent="0.2">
      <c r="C23" t="s">
        <v>175</v>
      </c>
      <c r="G23" s="22" t="s">
        <v>176</v>
      </c>
      <c r="H23" s="23" t="s">
        <v>185</v>
      </c>
    </row>
    <row r="25" spans="3:18" x14ac:dyDescent="0.2">
      <c r="C25" t="s">
        <v>177</v>
      </c>
      <c r="D25" t="s">
        <v>178</v>
      </c>
    </row>
    <row r="28" spans="3:18" ht="34" x14ac:dyDescent="0.2">
      <c r="N28" s="1" t="s">
        <v>166</v>
      </c>
    </row>
    <row r="30" spans="3:18" ht="68" x14ac:dyDescent="0.2">
      <c r="N30" s="1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FB12-55BF-8144-BA80-D2CC196DCD84}">
  <dimension ref="C4:AM167"/>
  <sheetViews>
    <sheetView tabSelected="1" topLeftCell="V2" zoomScale="127" zoomScaleNormal="123" workbookViewId="0">
      <selection activeCell="F158" sqref="F158"/>
    </sheetView>
  </sheetViews>
  <sheetFormatPr baseColWidth="10" defaultRowHeight="16" x14ac:dyDescent="0.2"/>
  <cols>
    <col min="6" max="6" width="21.83203125" customWidth="1"/>
    <col min="7" max="7" width="21.5" customWidth="1"/>
    <col min="10" max="10" width="14.5" customWidth="1"/>
    <col min="31" max="31" width="14.5" customWidth="1"/>
  </cols>
  <sheetData>
    <row r="4" spans="4:39" s="39" customFormat="1" x14ac:dyDescent="0.2">
      <c r="F4" s="39" t="s">
        <v>0</v>
      </c>
      <c r="U4" s="39" t="s">
        <v>447</v>
      </c>
      <c r="AD4" s="39" t="s">
        <v>175</v>
      </c>
      <c r="AK4" s="39" t="s">
        <v>427</v>
      </c>
    </row>
    <row r="5" spans="4:39" s="39" customFormat="1" x14ac:dyDescent="0.2"/>
    <row r="6" spans="4:39" s="39" customFormat="1" ht="51" x14ac:dyDescent="0.2">
      <c r="F6" s="39" t="s">
        <v>364</v>
      </c>
      <c r="J6" s="25" t="s">
        <v>365</v>
      </c>
      <c r="O6" s="39" t="s">
        <v>366</v>
      </c>
      <c r="U6" s="39" t="s">
        <v>395</v>
      </c>
      <c r="V6" s="39" t="s">
        <v>242</v>
      </c>
      <c r="W6" s="39" t="s">
        <v>82</v>
      </c>
      <c r="Y6" s="39" t="s">
        <v>83</v>
      </c>
      <c r="Z6" s="25" t="s">
        <v>398</v>
      </c>
      <c r="AD6" s="25" t="s">
        <v>424</v>
      </c>
      <c r="AE6" s="25" t="s">
        <v>425</v>
      </c>
      <c r="AF6" s="25" t="s">
        <v>411</v>
      </c>
      <c r="AG6" s="25" t="s">
        <v>413</v>
      </c>
      <c r="AK6" s="25" t="s">
        <v>428</v>
      </c>
      <c r="AM6" s="25" t="s">
        <v>429</v>
      </c>
    </row>
    <row r="7" spans="4:39" s="39" customFormat="1" x14ac:dyDescent="0.2">
      <c r="W7" s="39" t="s">
        <v>396</v>
      </c>
      <c r="X7" s="39" t="s">
        <v>397</v>
      </c>
      <c r="AF7" s="39" t="s">
        <v>412</v>
      </c>
    </row>
    <row r="8" spans="4:39" s="39" customFormat="1" x14ac:dyDescent="0.2"/>
    <row r="9" spans="4:39" s="39" customFormat="1" ht="34" x14ac:dyDescent="0.2">
      <c r="D9" s="39" t="s">
        <v>441</v>
      </c>
      <c r="F9" s="39" t="s">
        <v>368</v>
      </c>
      <c r="J9" s="39" t="s">
        <v>377</v>
      </c>
      <c r="O9" s="39" t="s">
        <v>446</v>
      </c>
      <c r="AD9" s="25" t="s">
        <v>414</v>
      </c>
      <c r="AE9" s="25" t="s">
        <v>426</v>
      </c>
      <c r="AK9" s="25" t="s">
        <v>430</v>
      </c>
    </row>
    <row r="10" spans="4:39" s="39" customFormat="1" x14ac:dyDescent="0.2"/>
    <row r="11" spans="4:39" s="39" customFormat="1" ht="34" x14ac:dyDescent="0.2">
      <c r="D11" s="39" t="s">
        <v>6</v>
      </c>
      <c r="J11" s="39" t="s">
        <v>378</v>
      </c>
      <c r="O11" s="39" t="s">
        <v>387</v>
      </c>
      <c r="AK11" s="25" t="s">
        <v>431</v>
      </c>
    </row>
    <row r="12" spans="4:39" s="39" customFormat="1" x14ac:dyDescent="0.2">
      <c r="D12" s="39" t="s">
        <v>442</v>
      </c>
    </row>
    <row r="13" spans="4:39" s="39" customFormat="1" ht="34" x14ac:dyDescent="0.2">
      <c r="D13" s="39" t="s">
        <v>245</v>
      </c>
      <c r="AK13" s="25" t="s">
        <v>432</v>
      </c>
    </row>
    <row r="14" spans="4:39" s="39" customFormat="1" x14ac:dyDescent="0.2">
      <c r="D14" s="39" t="s">
        <v>443</v>
      </c>
      <c r="O14" s="39" t="s">
        <v>382</v>
      </c>
    </row>
    <row r="15" spans="4:39" s="39" customFormat="1" x14ac:dyDescent="0.2"/>
    <row r="16" spans="4:39" s="39" customFormat="1" x14ac:dyDescent="0.2"/>
    <row r="17" spans="4:8" s="39" customFormat="1" x14ac:dyDescent="0.2">
      <c r="D17" s="39" t="s">
        <v>280</v>
      </c>
      <c r="F17" s="39" t="s">
        <v>371</v>
      </c>
    </row>
    <row r="18" spans="4:8" s="39" customFormat="1" x14ac:dyDescent="0.2">
      <c r="D18" s="39" t="s">
        <v>444</v>
      </c>
    </row>
    <row r="19" spans="4:8" s="39" customFormat="1" x14ac:dyDescent="0.2"/>
    <row r="20" spans="4:8" s="39" customFormat="1" x14ac:dyDescent="0.2">
      <c r="D20" s="39" t="s">
        <v>367</v>
      </c>
      <c r="F20" s="39" t="s">
        <v>445</v>
      </c>
    </row>
    <row r="23" spans="4:8" ht="51" x14ac:dyDescent="0.2">
      <c r="D23" t="s">
        <v>441</v>
      </c>
      <c r="F23" s="1" t="s">
        <v>369</v>
      </c>
      <c r="G23" t="s">
        <v>257</v>
      </c>
      <c r="H23" s="10">
        <v>45947</v>
      </c>
    </row>
    <row r="27" spans="4:8" x14ac:dyDescent="0.2">
      <c r="D27" t="s">
        <v>6</v>
      </c>
    </row>
    <row r="29" spans="4:8" x14ac:dyDescent="0.2">
      <c r="F29" t="s">
        <v>371</v>
      </c>
      <c r="G29" t="s">
        <v>372</v>
      </c>
      <c r="H29" t="s">
        <v>286</v>
      </c>
    </row>
    <row r="35" spans="4:8" x14ac:dyDescent="0.2">
      <c r="D35" t="s">
        <v>280</v>
      </c>
      <c r="F35" t="s">
        <v>370</v>
      </c>
      <c r="G35" t="s">
        <v>232</v>
      </c>
      <c r="H35" s="10">
        <v>45948</v>
      </c>
    </row>
    <row r="36" spans="4:8" x14ac:dyDescent="0.2">
      <c r="F36" t="s">
        <v>371</v>
      </c>
      <c r="G36" t="s">
        <v>372</v>
      </c>
    </row>
    <row r="40" spans="4:8" x14ac:dyDescent="0.2">
      <c r="D40" s="36" t="s">
        <v>373</v>
      </c>
      <c r="F40" t="s">
        <v>374</v>
      </c>
      <c r="G40" t="s">
        <v>259</v>
      </c>
      <c r="H40" s="10">
        <v>45948</v>
      </c>
    </row>
    <row r="42" spans="4:8" x14ac:dyDescent="0.2">
      <c r="F42" t="s">
        <v>306</v>
      </c>
      <c r="G42" t="s">
        <v>258</v>
      </c>
      <c r="H42" s="10">
        <v>45954</v>
      </c>
    </row>
    <row r="44" spans="4:8" x14ac:dyDescent="0.2">
      <c r="F44" t="s">
        <v>448</v>
      </c>
      <c r="G44" t="s">
        <v>376</v>
      </c>
      <c r="H44" s="10">
        <v>45955</v>
      </c>
    </row>
    <row r="46" spans="4:8" x14ac:dyDescent="0.2">
      <c r="F46" t="s">
        <v>375</v>
      </c>
      <c r="G46" t="s">
        <v>259</v>
      </c>
      <c r="H46" s="10">
        <v>45960</v>
      </c>
    </row>
    <row r="52" spans="4:8" x14ac:dyDescent="0.2">
      <c r="D52" t="s">
        <v>379</v>
      </c>
    </row>
    <row r="54" spans="4:8" ht="34" x14ac:dyDescent="0.2">
      <c r="F54" s="37" t="s">
        <v>380</v>
      </c>
      <c r="G54" s="35" t="s">
        <v>257</v>
      </c>
      <c r="H54" s="38">
        <v>45948</v>
      </c>
    </row>
    <row r="56" spans="4:8" x14ac:dyDescent="0.2">
      <c r="F56" t="s">
        <v>381</v>
      </c>
      <c r="G56" t="s">
        <v>409</v>
      </c>
      <c r="H56" s="10">
        <v>45952</v>
      </c>
    </row>
    <row r="58" spans="4:8" x14ac:dyDescent="0.2">
      <c r="F58" t="s">
        <v>321</v>
      </c>
      <c r="G58" t="s">
        <v>409</v>
      </c>
      <c r="H58" s="10">
        <v>45955</v>
      </c>
    </row>
    <row r="65" spans="4:8" x14ac:dyDescent="0.2">
      <c r="D65" t="s">
        <v>385</v>
      </c>
    </row>
    <row r="67" spans="4:8" ht="17" x14ac:dyDescent="0.2">
      <c r="F67" t="s">
        <v>383</v>
      </c>
      <c r="G67" s="1" t="s">
        <v>384</v>
      </c>
      <c r="H67" s="10">
        <v>45951</v>
      </c>
    </row>
    <row r="68" spans="4:8" x14ac:dyDescent="0.2">
      <c r="F68" t="s">
        <v>386</v>
      </c>
    </row>
    <row r="73" spans="4:8" x14ac:dyDescent="0.2">
      <c r="F73" t="s">
        <v>388</v>
      </c>
    </row>
    <row r="74" spans="4:8" x14ac:dyDescent="0.2">
      <c r="F74" t="s">
        <v>389</v>
      </c>
      <c r="G74" t="s">
        <v>258</v>
      </c>
      <c r="H74" s="10">
        <v>45952</v>
      </c>
    </row>
    <row r="75" spans="4:8" x14ac:dyDescent="0.2">
      <c r="F75" t="s">
        <v>390</v>
      </c>
      <c r="G75" t="s">
        <v>391</v>
      </c>
      <c r="H75" s="10">
        <v>45961</v>
      </c>
    </row>
    <row r="76" spans="4:8" x14ac:dyDescent="0.2">
      <c r="F76" t="s">
        <v>392</v>
      </c>
      <c r="G76" t="s">
        <v>393</v>
      </c>
      <c r="H76" s="10">
        <v>45955</v>
      </c>
    </row>
    <row r="77" spans="4:8" x14ac:dyDescent="0.2">
      <c r="F77" t="s">
        <v>449</v>
      </c>
      <c r="G77" t="s">
        <v>286</v>
      </c>
      <c r="H77" s="10">
        <v>45952</v>
      </c>
    </row>
    <row r="83" spans="3:9" x14ac:dyDescent="0.2">
      <c r="F83" t="s">
        <v>420</v>
      </c>
    </row>
    <row r="84" spans="3:9" x14ac:dyDescent="0.2">
      <c r="F84" t="s">
        <v>389</v>
      </c>
      <c r="G84" t="s">
        <v>261</v>
      </c>
      <c r="H84" s="10">
        <v>45961</v>
      </c>
    </row>
    <row r="85" spans="3:9" x14ac:dyDescent="0.2">
      <c r="F85" t="s">
        <v>422</v>
      </c>
      <c r="G85" t="s">
        <v>423</v>
      </c>
      <c r="H85" s="10">
        <v>45968</v>
      </c>
    </row>
    <row r="86" spans="3:9" x14ac:dyDescent="0.2">
      <c r="F86" t="s">
        <v>450</v>
      </c>
      <c r="G86" t="s">
        <v>257</v>
      </c>
      <c r="H86" s="10">
        <v>45975</v>
      </c>
    </row>
    <row r="92" spans="3:9" x14ac:dyDescent="0.2">
      <c r="C92" t="s">
        <v>421</v>
      </c>
      <c r="D92" t="s">
        <v>394</v>
      </c>
    </row>
    <row r="94" spans="3:9" x14ac:dyDescent="0.2">
      <c r="C94" s="13"/>
      <c r="D94" s="13" t="s">
        <v>395</v>
      </c>
      <c r="E94" s="13"/>
      <c r="F94" s="13" t="s">
        <v>399</v>
      </c>
      <c r="G94" s="13" t="s">
        <v>257</v>
      </c>
      <c r="H94" s="40">
        <v>45951</v>
      </c>
      <c r="I94" s="13"/>
    </row>
    <row r="95" spans="3:9" x14ac:dyDescent="0.2">
      <c r="C95" s="13"/>
      <c r="D95" s="13"/>
      <c r="E95" s="13"/>
      <c r="F95" s="13"/>
      <c r="G95" s="13"/>
      <c r="H95" s="13"/>
      <c r="I95" s="13"/>
    </row>
    <row r="96" spans="3:9" x14ac:dyDescent="0.2">
      <c r="C96" s="13"/>
      <c r="D96" s="13"/>
      <c r="E96" s="13"/>
      <c r="F96" s="13" t="s">
        <v>389</v>
      </c>
      <c r="G96" s="13" t="s">
        <v>258</v>
      </c>
      <c r="H96" s="40">
        <v>45952</v>
      </c>
      <c r="I96" s="13"/>
    </row>
    <row r="97" spans="3:9" x14ac:dyDescent="0.2">
      <c r="C97" s="13"/>
      <c r="D97" s="13"/>
      <c r="E97" s="13"/>
      <c r="F97" s="13"/>
      <c r="G97" s="13"/>
      <c r="H97" s="13"/>
      <c r="I97" s="13"/>
    </row>
    <row r="98" spans="3:9" x14ac:dyDescent="0.2">
      <c r="C98" s="13"/>
      <c r="D98" s="13"/>
      <c r="E98" s="13"/>
      <c r="F98" s="13" t="s">
        <v>400</v>
      </c>
      <c r="G98" s="13" t="s">
        <v>393</v>
      </c>
      <c r="H98" s="40">
        <v>45953</v>
      </c>
      <c r="I98" s="13"/>
    </row>
    <row r="99" spans="3:9" x14ac:dyDescent="0.2">
      <c r="C99" s="13"/>
      <c r="D99" s="13"/>
      <c r="E99" s="13"/>
      <c r="F99" s="13"/>
      <c r="G99" s="13"/>
      <c r="H99" s="13"/>
      <c r="I99" s="13"/>
    </row>
    <row r="100" spans="3:9" x14ac:dyDescent="0.2">
      <c r="C100" s="13"/>
      <c r="D100" s="13"/>
      <c r="E100" s="13"/>
      <c r="F100" s="13" t="s">
        <v>401</v>
      </c>
      <c r="G100" s="13" t="s">
        <v>257</v>
      </c>
      <c r="H100" s="40">
        <v>45952</v>
      </c>
      <c r="I100" s="13"/>
    </row>
    <row r="101" spans="3:9" x14ac:dyDescent="0.2">
      <c r="C101" s="13"/>
      <c r="D101" s="13"/>
      <c r="E101" s="13"/>
      <c r="F101" s="13"/>
      <c r="G101" s="13"/>
      <c r="H101" s="13"/>
      <c r="I101" s="13"/>
    </row>
    <row r="102" spans="3:9" x14ac:dyDescent="0.2">
      <c r="C102" s="13"/>
      <c r="D102" s="13"/>
      <c r="E102" s="13"/>
      <c r="F102" s="13" t="s">
        <v>402</v>
      </c>
      <c r="G102" s="13" t="s">
        <v>451</v>
      </c>
      <c r="H102" s="40">
        <v>45953</v>
      </c>
      <c r="I102" s="13"/>
    </row>
    <row r="103" spans="3:9" x14ac:dyDescent="0.2">
      <c r="C103" s="13"/>
      <c r="D103" s="13"/>
      <c r="E103" s="13"/>
      <c r="F103" s="13"/>
      <c r="G103" s="13"/>
      <c r="H103" s="13"/>
      <c r="I103" s="13"/>
    </row>
    <row r="104" spans="3:9" x14ac:dyDescent="0.2">
      <c r="C104" s="13"/>
      <c r="D104" s="13"/>
      <c r="E104" s="13"/>
      <c r="F104" s="13" t="s">
        <v>403</v>
      </c>
      <c r="G104" s="13" t="s">
        <v>404</v>
      </c>
      <c r="H104" s="40">
        <v>45952</v>
      </c>
      <c r="I104" s="13"/>
    </row>
    <row r="105" spans="3:9" x14ac:dyDescent="0.2">
      <c r="C105" s="13"/>
      <c r="D105" s="13"/>
      <c r="E105" s="13"/>
      <c r="F105" s="13"/>
      <c r="G105" s="13"/>
      <c r="H105" s="13"/>
      <c r="I105" s="13"/>
    </row>
    <row r="106" spans="3:9" x14ac:dyDescent="0.2">
      <c r="C106" s="13"/>
      <c r="D106" s="13"/>
      <c r="E106" s="13"/>
      <c r="F106" s="13"/>
      <c r="G106" s="13"/>
      <c r="H106" s="13"/>
      <c r="I106" s="13"/>
    </row>
    <row r="107" spans="3:9" x14ac:dyDescent="0.2">
      <c r="C107" s="13"/>
      <c r="D107" s="13"/>
      <c r="E107" s="13"/>
      <c r="F107" s="13"/>
      <c r="G107" s="13"/>
      <c r="H107" s="13"/>
      <c r="I107" s="13"/>
    </row>
    <row r="108" spans="3:9" x14ac:dyDescent="0.2">
      <c r="C108" s="13"/>
      <c r="D108" s="13"/>
      <c r="E108" s="13"/>
      <c r="F108" s="13"/>
      <c r="G108" s="13"/>
      <c r="H108" s="13"/>
      <c r="I108" s="13"/>
    </row>
    <row r="109" spans="3:9" x14ac:dyDescent="0.2">
      <c r="C109" s="13"/>
      <c r="D109" s="13"/>
      <c r="E109" s="13"/>
      <c r="F109" s="13"/>
      <c r="G109" s="13"/>
      <c r="H109" s="13"/>
      <c r="I109" s="13"/>
    </row>
    <row r="110" spans="3:9" x14ac:dyDescent="0.2">
      <c r="C110" s="13"/>
      <c r="D110" s="13" t="s">
        <v>242</v>
      </c>
      <c r="E110" s="13"/>
      <c r="F110" s="13" t="s">
        <v>452</v>
      </c>
      <c r="G110" s="13" t="s">
        <v>257</v>
      </c>
      <c r="H110" s="40">
        <v>45951</v>
      </c>
      <c r="I110" s="13"/>
    </row>
    <row r="111" spans="3:9" x14ac:dyDescent="0.2">
      <c r="C111" s="13"/>
      <c r="D111" s="13"/>
      <c r="E111" s="13"/>
      <c r="F111" s="13"/>
      <c r="G111" s="13"/>
      <c r="H111" s="13"/>
      <c r="I111" s="13"/>
    </row>
    <row r="112" spans="3:9" x14ac:dyDescent="0.2">
      <c r="C112" s="13"/>
      <c r="D112" s="13"/>
      <c r="E112" s="13"/>
      <c r="F112" s="13" t="s">
        <v>389</v>
      </c>
      <c r="G112" s="13" t="s">
        <v>258</v>
      </c>
      <c r="H112" s="40">
        <v>45952</v>
      </c>
      <c r="I112" s="13"/>
    </row>
    <row r="113" spans="3:9" x14ac:dyDescent="0.2">
      <c r="C113" s="13"/>
      <c r="D113" s="13"/>
      <c r="E113" s="13"/>
      <c r="F113" s="13"/>
      <c r="G113" s="13"/>
      <c r="H113" s="13"/>
      <c r="I113" s="13"/>
    </row>
    <row r="114" spans="3:9" x14ac:dyDescent="0.2">
      <c r="C114" s="13"/>
      <c r="D114" s="13"/>
      <c r="E114" s="13"/>
      <c r="F114" s="13" t="s">
        <v>400</v>
      </c>
      <c r="G114" s="13" t="s">
        <v>393</v>
      </c>
      <c r="H114" s="40">
        <v>45953</v>
      </c>
      <c r="I114" s="13"/>
    </row>
    <row r="115" spans="3:9" x14ac:dyDescent="0.2">
      <c r="C115" s="13"/>
      <c r="D115" s="13"/>
      <c r="E115" s="13"/>
      <c r="F115" s="13"/>
      <c r="G115" s="13"/>
      <c r="H115" s="13"/>
      <c r="I115" s="13"/>
    </row>
    <row r="116" spans="3:9" x14ac:dyDescent="0.2">
      <c r="C116" s="13"/>
      <c r="D116" s="13"/>
      <c r="E116" s="13"/>
      <c r="F116" s="13" t="s">
        <v>401</v>
      </c>
      <c r="G116" s="13" t="s">
        <v>257</v>
      </c>
      <c r="H116" s="40">
        <v>45952</v>
      </c>
      <c r="I116" s="13"/>
    </row>
    <row r="117" spans="3:9" x14ac:dyDescent="0.2">
      <c r="C117" s="13"/>
      <c r="D117" s="13"/>
      <c r="E117" s="13"/>
      <c r="F117" s="13"/>
      <c r="G117" s="13"/>
      <c r="H117" s="13"/>
      <c r="I117" s="13"/>
    </row>
    <row r="118" spans="3:9" x14ac:dyDescent="0.2">
      <c r="C118" s="13"/>
      <c r="D118" s="13"/>
      <c r="E118" s="13"/>
      <c r="F118" s="13" t="s">
        <v>402</v>
      </c>
      <c r="G118" s="13" t="s">
        <v>393</v>
      </c>
      <c r="H118" s="40">
        <v>45951</v>
      </c>
      <c r="I118" s="13"/>
    </row>
    <row r="119" spans="3:9" x14ac:dyDescent="0.2">
      <c r="C119" s="13"/>
      <c r="D119" s="13"/>
      <c r="E119" s="13"/>
      <c r="F119" s="13"/>
      <c r="G119" s="13"/>
      <c r="H119" s="13"/>
      <c r="I119" s="13"/>
    </row>
    <row r="120" spans="3:9" x14ac:dyDescent="0.2">
      <c r="C120" s="13"/>
      <c r="D120" s="13"/>
      <c r="E120" s="13"/>
      <c r="F120" s="13"/>
      <c r="G120" s="13"/>
      <c r="H120" s="40"/>
      <c r="I120" s="13"/>
    </row>
    <row r="123" spans="3:9" x14ac:dyDescent="0.2">
      <c r="C123" s="36"/>
      <c r="D123" s="36" t="s">
        <v>82</v>
      </c>
      <c r="E123" s="36"/>
      <c r="F123" s="36" t="s">
        <v>371</v>
      </c>
      <c r="G123" s="36" t="s">
        <v>405</v>
      </c>
      <c r="H123" s="41">
        <v>45947</v>
      </c>
      <c r="I123" s="36" t="s">
        <v>406</v>
      </c>
    </row>
    <row r="124" spans="3:9" x14ac:dyDescent="0.2">
      <c r="C124" s="36"/>
      <c r="D124" s="36" t="s">
        <v>396</v>
      </c>
      <c r="E124" s="36"/>
      <c r="F124" s="36"/>
      <c r="G124" s="36"/>
      <c r="H124" s="36"/>
      <c r="I124" s="36"/>
    </row>
    <row r="125" spans="3:9" x14ac:dyDescent="0.2">
      <c r="C125" s="36"/>
      <c r="D125" s="36" t="s">
        <v>397</v>
      </c>
      <c r="E125" s="36"/>
      <c r="F125" s="36" t="s">
        <v>407</v>
      </c>
      <c r="G125" s="36"/>
      <c r="H125" s="41">
        <v>45960</v>
      </c>
      <c r="I125" s="36"/>
    </row>
    <row r="126" spans="3:9" x14ac:dyDescent="0.2">
      <c r="C126" s="36"/>
      <c r="D126" s="36"/>
      <c r="E126" s="36"/>
      <c r="F126" s="36"/>
      <c r="G126" s="36"/>
      <c r="H126" s="36"/>
      <c r="I126" s="36"/>
    </row>
    <row r="127" spans="3:9" x14ac:dyDescent="0.2">
      <c r="C127" s="36"/>
      <c r="D127" s="36" t="s">
        <v>83</v>
      </c>
      <c r="E127" s="36"/>
      <c r="F127" s="36" t="s">
        <v>408</v>
      </c>
      <c r="G127" s="36"/>
      <c r="H127" s="41">
        <v>45968</v>
      </c>
      <c r="I127" s="36"/>
    </row>
    <row r="128" spans="3:9" x14ac:dyDescent="0.2">
      <c r="C128" s="36"/>
      <c r="D128" s="36"/>
      <c r="E128" s="36"/>
      <c r="F128" s="36"/>
      <c r="G128" s="36"/>
      <c r="H128" s="36"/>
      <c r="I128" s="36"/>
    </row>
    <row r="129" spans="3:9" x14ac:dyDescent="0.2">
      <c r="C129" s="36"/>
      <c r="D129" s="36"/>
      <c r="E129" s="36"/>
      <c r="F129" s="36"/>
      <c r="G129" s="36"/>
      <c r="H129" s="36"/>
      <c r="I129" s="36"/>
    </row>
    <row r="130" spans="3:9" ht="34" x14ac:dyDescent="0.2">
      <c r="D130" s="1" t="s">
        <v>398</v>
      </c>
      <c r="F130" t="s">
        <v>409</v>
      </c>
    </row>
    <row r="134" spans="3:9" x14ac:dyDescent="0.2">
      <c r="D134" t="s">
        <v>415</v>
      </c>
    </row>
    <row r="135" spans="3:9" ht="34" x14ac:dyDescent="0.2">
      <c r="D135" s="1" t="s">
        <v>410</v>
      </c>
    </row>
    <row r="138" spans="3:9" ht="34" x14ac:dyDescent="0.2">
      <c r="D138" s="1" t="s">
        <v>417</v>
      </c>
      <c r="F138" t="s">
        <v>416</v>
      </c>
      <c r="G138" t="s">
        <v>259</v>
      </c>
      <c r="H138" s="10">
        <v>45948</v>
      </c>
    </row>
    <row r="139" spans="3:9" x14ac:dyDescent="0.2">
      <c r="D139" s="1"/>
    </row>
    <row r="141" spans="3:9" ht="34" x14ac:dyDescent="0.2">
      <c r="D141" s="1" t="s">
        <v>413</v>
      </c>
      <c r="E141" t="s">
        <v>419</v>
      </c>
      <c r="F141" t="s">
        <v>418</v>
      </c>
      <c r="G141" t="s">
        <v>453</v>
      </c>
      <c r="H141" s="10">
        <v>45951</v>
      </c>
    </row>
    <row r="143" spans="3:9" ht="34" x14ac:dyDescent="0.2">
      <c r="D143" s="1" t="s">
        <v>454</v>
      </c>
      <c r="F143" s="1" t="s">
        <v>456</v>
      </c>
      <c r="G143" t="s">
        <v>455</v>
      </c>
      <c r="H143" s="10">
        <v>45948</v>
      </c>
    </row>
    <row r="145" spans="4:8" x14ac:dyDescent="0.2">
      <c r="D145" t="s">
        <v>433</v>
      </c>
    </row>
    <row r="146" spans="4:8" ht="51" x14ac:dyDescent="0.2">
      <c r="D146" s="1" t="s">
        <v>428</v>
      </c>
      <c r="G146" t="s">
        <v>258</v>
      </c>
      <c r="H146" s="10">
        <v>45955</v>
      </c>
    </row>
    <row r="149" spans="4:8" ht="17" x14ac:dyDescent="0.2">
      <c r="F149" s="1" t="s">
        <v>430</v>
      </c>
    </row>
    <row r="151" spans="4:8" ht="17" x14ac:dyDescent="0.2">
      <c r="F151" s="1" t="s">
        <v>431</v>
      </c>
      <c r="G151" t="s">
        <v>261</v>
      </c>
    </row>
    <row r="153" spans="4:8" ht="17" x14ac:dyDescent="0.2">
      <c r="F153" s="1" t="s">
        <v>432</v>
      </c>
      <c r="G153" t="s">
        <v>258</v>
      </c>
    </row>
    <row r="156" spans="4:8" ht="34" x14ac:dyDescent="0.2">
      <c r="F156" s="1" t="s">
        <v>435</v>
      </c>
      <c r="G156" t="s">
        <v>434</v>
      </c>
      <c r="H156" s="10">
        <v>45955</v>
      </c>
    </row>
    <row r="158" spans="4:8" x14ac:dyDescent="0.2">
      <c r="F158" t="s">
        <v>436</v>
      </c>
      <c r="G158" t="s">
        <v>409</v>
      </c>
    </row>
    <row r="163" spans="4:8" x14ac:dyDescent="0.2">
      <c r="D163" t="s">
        <v>437</v>
      </c>
    </row>
    <row r="165" spans="4:8" x14ac:dyDescent="0.2">
      <c r="F165" t="s">
        <v>438</v>
      </c>
      <c r="G165" t="s">
        <v>393</v>
      </c>
      <c r="H165" s="10">
        <v>45951</v>
      </c>
    </row>
    <row r="167" spans="4:8" x14ac:dyDescent="0.2">
      <c r="F167" t="s">
        <v>439</v>
      </c>
      <c r="G167" t="s">
        <v>440</v>
      </c>
      <c r="H167" s="10">
        <v>45951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EE66-8B76-064C-9153-CE627D8614C2}">
  <dimension ref="B4:AG31"/>
  <sheetViews>
    <sheetView topLeftCell="A6" zoomScale="150" workbookViewId="0">
      <selection activeCell="E14" sqref="E14"/>
    </sheetView>
  </sheetViews>
  <sheetFormatPr baseColWidth="10" defaultRowHeight="16" x14ac:dyDescent="0.2"/>
  <cols>
    <col min="10" max="10" width="15.33203125" customWidth="1"/>
  </cols>
  <sheetData>
    <row r="4" spans="2:33" x14ac:dyDescent="0.2">
      <c r="C4" t="s">
        <v>297</v>
      </c>
      <c r="E4" t="s">
        <v>298</v>
      </c>
    </row>
    <row r="8" spans="2:33" s="12" customFormat="1" x14ac:dyDescent="0.2">
      <c r="C8" s="12" t="s">
        <v>0</v>
      </c>
      <c r="N8" s="12" t="s">
        <v>323</v>
      </c>
      <c r="U8" s="12" t="s">
        <v>334</v>
      </c>
      <c r="AE8" s="12" t="s">
        <v>296</v>
      </c>
    </row>
    <row r="9" spans="2:33" x14ac:dyDescent="0.2">
      <c r="D9" t="s">
        <v>299</v>
      </c>
    </row>
    <row r="11" spans="2:33" x14ac:dyDescent="0.2">
      <c r="B11" t="s">
        <v>301</v>
      </c>
      <c r="E11" t="s">
        <v>300</v>
      </c>
      <c r="N11" t="s">
        <v>324</v>
      </c>
      <c r="O11" t="s">
        <v>325</v>
      </c>
      <c r="U11" t="s">
        <v>333</v>
      </c>
      <c r="V11" t="s">
        <v>335</v>
      </c>
      <c r="Y11" t="s">
        <v>336</v>
      </c>
      <c r="AA11" t="s">
        <v>345</v>
      </c>
      <c r="AD11" t="s">
        <v>347</v>
      </c>
      <c r="AE11" t="s">
        <v>346</v>
      </c>
    </row>
    <row r="13" spans="2:33" x14ac:dyDescent="0.2">
      <c r="B13" t="s">
        <v>302</v>
      </c>
      <c r="E13" t="s">
        <v>303</v>
      </c>
      <c r="N13" t="s">
        <v>326</v>
      </c>
      <c r="O13" t="s">
        <v>327</v>
      </c>
      <c r="R13" t="s">
        <v>328</v>
      </c>
      <c r="U13" t="s">
        <v>337</v>
      </c>
      <c r="V13" t="s">
        <v>338</v>
      </c>
      <c r="Y13" t="s">
        <v>339</v>
      </c>
      <c r="AA13" t="s">
        <v>267</v>
      </c>
      <c r="AD13" t="s">
        <v>348</v>
      </c>
      <c r="AE13" t="s">
        <v>349</v>
      </c>
    </row>
    <row r="15" spans="2:33" x14ac:dyDescent="0.2">
      <c r="B15" t="s">
        <v>304</v>
      </c>
      <c r="E15" t="s">
        <v>305</v>
      </c>
      <c r="N15" t="s">
        <v>329</v>
      </c>
      <c r="O15" t="s">
        <v>330</v>
      </c>
      <c r="R15" t="s">
        <v>331</v>
      </c>
      <c r="U15" t="s">
        <v>340</v>
      </c>
      <c r="V15" t="s">
        <v>341</v>
      </c>
      <c r="Y15" t="s">
        <v>342</v>
      </c>
      <c r="AA15" t="s">
        <v>344</v>
      </c>
      <c r="AD15" t="s">
        <v>350</v>
      </c>
      <c r="AE15" t="s">
        <v>351</v>
      </c>
      <c r="AG15" t="s">
        <v>363</v>
      </c>
    </row>
    <row r="17" spans="2:25" x14ac:dyDescent="0.2">
      <c r="H17" t="s">
        <v>306</v>
      </c>
      <c r="N17" t="s">
        <v>332</v>
      </c>
      <c r="U17" t="s">
        <v>343</v>
      </c>
      <c r="V17" t="s">
        <v>352</v>
      </c>
      <c r="Y17" t="s">
        <v>353</v>
      </c>
    </row>
    <row r="18" spans="2:25" x14ac:dyDescent="0.2">
      <c r="J18" t="s">
        <v>308</v>
      </c>
    </row>
    <row r="19" spans="2:25" x14ac:dyDescent="0.2">
      <c r="J19" t="s">
        <v>307</v>
      </c>
      <c r="U19" t="s">
        <v>354</v>
      </c>
      <c r="V19" t="s">
        <v>355</v>
      </c>
      <c r="Y19" t="s">
        <v>356</v>
      </c>
    </row>
    <row r="21" spans="2:25" x14ac:dyDescent="0.2">
      <c r="U21" t="s">
        <v>357</v>
      </c>
      <c r="V21" t="s">
        <v>358</v>
      </c>
      <c r="Y21" t="s">
        <v>359</v>
      </c>
    </row>
    <row r="22" spans="2:25" x14ac:dyDescent="0.2">
      <c r="B22" t="s">
        <v>309</v>
      </c>
      <c r="E22" t="s">
        <v>310</v>
      </c>
    </row>
    <row r="23" spans="2:25" x14ac:dyDescent="0.2">
      <c r="U23" t="s">
        <v>360</v>
      </c>
      <c r="V23" t="s">
        <v>361</v>
      </c>
      <c r="Y23" t="s">
        <v>362</v>
      </c>
    </row>
    <row r="24" spans="2:25" x14ac:dyDescent="0.2">
      <c r="B24" t="s">
        <v>311</v>
      </c>
      <c r="E24" t="s">
        <v>312</v>
      </c>
    </row>
    <row r="26" spans="2:25" x14ac:dyDescent="0.2">
      <c r="B26" t="s">
        <v>313</v>
      </c>
      <c r="E26" t="s">
        <v>314</v>
      </c>
      <c r="G26" t="s">
        <v>315</v>
      </c>
    </row>
    <row r="28" spans="2:25" x14ac:dyDescent="0.2">
      <c r="B28" t="s">
        <v>316</v>
      </c>
      <c r="E28" t="s">
        <v>317</v>
      </c>
    </row>
    <row r="30" spans="2:25" x14ac:dyDescent="0.2">
      <c r="B30" t="s">
        <v>318</v>
      </c>
      <c r="E30" t="s">
        <v>319</v>
      </c>
      <c r="F30" t="s">
        <v>320</v>
      </c>
    </row>
    <row r="31" spans="2:25" x14ac:dyDescent="0.2">
      <c r="B31" t="s">
        <v>322</v>
      </c>
      <c r="F31" t="s">
        <v>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7858-3641-D146-8B19-E9BEF1B075D2}">
  <dimension ref="B3:Q70"/>
  <sheetViews>
    <sheetView topLeftCell="C1" zoomScale="120" zoomScaleNormal="120" workbookViewId="0">
      <selection activeCell="M70" sqref="M70"/>
    </sheetView>
  </sheetViews>
  <sheetFormatPr baseColWidth="10" defaultRowHeight="16" x14ac:dyDescent="0.2"/>
  <sheetData>
    <row r="3" spans="2:17" x14ac:dyDescent="0.2">
      <c r="E3" t="s">
        <v>235</v>
      </c>
    </row>
    <row r="4" spans="2:17" x14ac:dyDescent="0.2">
      <c r="K4" t="s">
        <v>251</v>
      </c>
      <c r="M4" t="s">
        <v>252</v>
      </c>
      <c r="O4" t="s">
        <v>253</v>
      </c>
      <c r="Q4" t="s">
        <v>254</v>
      </c>
    </row>
    <row r="7" spans="2:17" x14ac:dyDescent="0.2">
      <c r="D7">
        <v>1</v>
      </c>
      <c r="E7" t="s">
        <v>236</v>
      </c>
      <c r="G7" t="s">
        <v>110</v>
      </c>
      <c r="M7" t="s">
        <v>267</v>
      </c>
    </row>
    <row r="8" spans="2:17" x14ac:dyDescent="0.2">
      <c r="E8" t="s">
        <v>71</v>
      </c>
      <c r="M8" t="s">
        <v>268</v>
      </c>
    </row>
    <row r="9" spans="2:17" x14ac:dyDescent="0.2">
      <c r="D9">
        <v>2</v>
      </c>
      <c r="E9" t="s">
        <v>237</v>
      </c>
      <c r="K9" t="s">
        <v>270</v>
      </c>
      <c r="M9" s="22" t="s">
        <v>269</v>
      </c>
      <c r="N9" s="22"/>
      <c r="O9" t="s">
        <v>273</v>
      </c>
      <c r="Q9" t="s">
        <v>257</v>
      </c>
    </row>
    <row r="11" spans="2:17" ht="85" x14ac:dyDescent="0.2">
      <c r="D11">
        <v>3</v>
      </c>
      <c r="E11" t="s">
        <v>238</v>
      </c>
      <c r="K11" t="s">
        <v>259</v>
      </c>
      <c r="M11" s="1" t="s">
        <v>271</v>
      </c>
      <c r="O11" t="s">
        <v>272</v>
      </c>
      <c r="Q11" t="s">
        <v>259</v>
      </c>
    </row>
    <row r="12" spans="2:17" x14ac:dyDescent="0.2">
      <c r="B12" s="22" t="s">
        <v>277</v>
      </c>
      <c r="C12" s="22"/>
    </row>
    <row r="13" spans="2:17" x14ac:dyDescent="0.2">
      <c r="D13">
        <v>4</v>
      </c>
      <c r="E13" t="s">
        <v>239</v>
      </c>
      <c r="K13" t="s">
        <v>273</v>
      </c>
      <c r="M13" t="s">
        <v>262</v>
      </c>
      <c r="N13" t="s">
        <v>263</v>
      </c>
      <c r="O13" t="s">
        <v>274</v>
      </c>
      <c r="P13" t="s">
        <v>276</v>
      </c>
    </row>
    <row r="14" spans="2:17" x14ac:dyDescent="0.2">
      <c r="O14" t="s">
        <v>275</v>
      </c>
      <c r="P14" t="s">
        <v>259</v>
      </c>
    </row>
    <row r="16" spans="2:17" x14ac:dyDescent="0.2">
      <c r="D16">
        <v>5</v>
      </c>
      <c r="E16" t="s">
        <v>256</v>
      </c>
      <c r="M16" s="22" t="s">
        <v>255</v>
      </c>
      <c r="N16" s="22" t="s">
        <v>261</v>
      </c>
      <c r="P16" t="s">
        <v>293</v>
      </c>
    </row>
    <row r="17" spans="4:16" x14ac:dyDescent="0.2">
      <c r="M17" t="s">
        <v>264</v>
      </c>
      <c r="N17" t="s">
        <v>257</v>
      </c>
    </row>
    <row r="23" spans="4:16" x14ac:dyDescent="0.2">
      <c r="D23">
        <v>5</v>
      </c>
      <c r="E23" t="s">
        <v>240</v>
      </c>
    </row>
    <row r="25" spans="4:16" x14ac:dyDescent="0.2">
      <c r="G25" s="15" t="s">
        <v>241</v>
      </c>
      <c r="H25" s="15"/>
      <c r="I25" s="15"/>
      <c r="J25" s="15"/>
      <c r="K25" s="15"/>
      <c r="L25" s="15" t="s">
        <v>259</v>
      </c>
      <c r="M25" s="15"/>
      <c r="P25" t="s">
        <v>279</v>
      </c>
    </row>
    <row r="27" spans="4:16" x14ac:dyDescent="0.2">
      <c r="G27" s="36" t="s">
        <v>242</v>
      </c>
      <c r="H27" s="36"/>
      <c r="I27" s="36"/>
      <c r="J27" s="36"/>
      <c r="K27" s="36"/>
      <c r="L27" s="36" t="s">
        <v>259</v>
      </c>
      <c r="M27" s="36"/>
      <c r="P27" t="s">
        <v>292</v>
      </c>
    </row>
    <row r="29" spans="4:16" x14ac:dyDescent="0.2">
      <c r="G29" t="s">
        <v>82</v>
      </c>
      <c r="L29" t="s">
        <v>260</v>
      </c>
    </row>
    <row r="31" spans="4:16" x14ac:dyDescent="0.2">
      <c r="G31" t="s">
        <v>83</v>
      </c>
      <c r="L31" t="s">
        <v>260</v>
      </c>
      <c r="N31" t="s">
        <v>278</v>
      </c>
    </row>
    <row r="34" spans="3:17" x14ac:dyDescent="0.2">
      <c r="D34">
        <v>6</v>
      </c>
      <c r="E34" t="s">
        <v>243</v>
      </c>
    </row>
    <row r="36" spans="3:17" x14ac:dyDescent="0.2">
      <c r="G36" t="s">
        <v>150</v>
      </c>
      <c r="K36" t="s">
        <v>7</v>
      </c>
      <c r="L36" t="s">
        <v>257</v>
      </c>
    </row>
    <row r="38" spans="3:17" x14ac:dyDescent="0.2">
      <c r="G38" t="s">
        <v>244</v>
      </c>
      <c r="L38" t="s">
        <v>118</v>
      </c>
    </row>
    <row r="40" spans="3:17" x14ac:dyDescent="0.2">
      <c r="G40" s="36" t="s">
        <v>245</v>
      </c>
      <c r="H40" s="36"/>
      <c r="I40" s="36"/>
      <c r="J40" s="36"/>
      <c r="K40" s="36" t="s">
        <v>7</v>
      </c>
      <c r="L40" s="36" t="s">
        <v>279</v>
      </c>
      <c r="M40" s="36"/>
      <c r="N40" s="36" t="s">
        <v>281</v>
      </c>
      <c r="O40" s="36" t="s">
        <v>282</v>
      </c>
      <c r="P40" s="36"/>
    </row>
    <row r="41" spans="3:17" x14ac:dyDescent="0.2">
      <c r="H41" t="s">
        <v>280</v>
      </c>
    </row>
    <row r="42" spans="3:17" x14ac:dyDescent="0.2">
      <c r="G42" t="s">
        <v>246</v>
      </c>
      <c r="H42" t="s">
        <v>247</v>
      </c>
      <c r="L42" t="s">
        <v>283</v>
      </c>
      <c r="N42" t="s">
        <v>284</v>
      </c>
      <c r="P42" t="s">
        <v>259</v>
      </c>
    </row>
    <row r="43" spans="3:17" x14ac:dyDescent="0.2">
      <c r="Q43" t="s">
        <v>292</v>
      </c>
    </row>
    <row r="44" spans="3:17" x14ac:dyDescent="0.2">
      <c r="H44" t="s">
        <v>225</v>
      </c>
      <c r="L44" t="s">
        <v>283</v>
      </c>
    </row>
    <row r="48" spans="3:17" x14ac:dyDescent="0.2">
      <c r="C48" t="s">
        <v>287</v>
      </c>
      <c r="D48">
        <v>7</v>
      </c>
      <c r="E48" t="s">
        <v>248</v>
      </c>
    </row>
    <row r="49" spans="4:17" x14ac:dyDescent="0.2">
      <c r="G49" t="s">
        <v>249</v>
      </c>
      <c r="L49" t="s">
        <v>285</v>
      </c>
      <c r="O49" s="10">
        <v>45922</v>
      </c>
      <c r="P49" t="s">
        <v>258</v>
      </c>
      <c r="Q49" t="s">
        <v>111</v>
      </c>
    </row>
    <row r="50" spans="4:17" x14ac:dyDescent="0.2">
      <c r="L50" t="s">
        <v>288</v>
      </c>
    </row>
    <row r="54" spans="4:17" x14ac:dyDescent="0.2">
      <c r="D54">
        <v>8</v>
      </c>
      <c r="E54" t="s">
        <v>250</v>
      </c>
      <c r="G54" t="s">
        <v>286</v>
      </c>
      <c r="H54" t="s">
        <v>289</v>
      </c>
    </row>
    <row r="58" spans="4:17" x14ac:dyDescent="0.2">
      <c r="E58" t="s">
        <v>265</v>
      </c>
      <c r="G58" t="s">
        <v>266</v>
      </c>
    </row>
    <row r="60" spans="4:17" x14ac:dyDescent="0.2">
      <c r="G60" t="s">
        <v>290</v>
      </c>
      <c r="L60" t="s">
        <v>291</v>
      </c>
      <c r="O60" t="s">
        <v>292</v>
      </c>
    </row>
    <row r="65" spans="4:11" x14ac:dyDescent="0.2">
      <c r="D65" s="22"/>
      <c r="E65" s="22"/>
      <c r="F65" s="22"/>
      <c r="G65" s="22" t="s">
        <v>294</v>
      </c>
      <c r="H65" s="22"/>
      <c r="I65" s="22"/>
      <c r="J65" s="22"/>
      <c r="K65" s="22"/>
    </row>
    <row r="66" spans="4:11" x14ac:dyDescent="0.2">
      <c r="D66" s="22"/>
      <c r="E66" s="22"/>
      <c r="F66" s="22"/>
      <c r="G66" s="22"/>
      <c r="H66" s="22"/>
      <c r="I66" s="22"/>
      <c r="J66" s="22"/>
      <c r="K66" s="22"/>
    </row>
    <row r="67" spans="4:11" x14ac:dyDescent="0.2">
      <c r="D67" s="22"/>
      <c r="E67" s="22"/>
      <c r="F67" s="22"/>
      <c r="G67" s="22"/>
      <c r="H67" s="22"/>
      <c r="I67" s="22"/>
      <c r="J67" s="22"/>
      <c r="K67" s="22"/>
    </row>
    <row r="68" spans="4:11" x14ac:dyDescent="0.2">
      <c r="D68" s="22"/>
      <c r="E68" s="22" t="s">
        <v>295</v>
      </c>
      <c r="F68" s="22"/>
      <c r="G68" s="22"/>
      <c r="H68" s="22"/>
      <c r="I68" s="22"/>
      <c r="J68" s="22"/>
      <c r="K68" s="22"/>
    </row>
    <row r="69" spans="4:11" x14ac:dyDescent="0.2">
      <c r="D69" s="22"/>
      <c r="E69" s="22"/>
      <c r="F69" s="22"/>
      <c r="G69" s="22"/>
      <c r="H69" s="22"/>
      <c r="I69" s="22"/>
      <c r="J69" s="22"/>
      <c r="K69" s="22"/>
    </row>
    <row r="70" spans="4:11" x14ac:dyDescent="0.2">
      <c r="D70" s="22"/>
      <c r="E70" s="22"/>
      <c r="F70" s="22"/>
      <c r="G70" s="22"/>
      <c r="H70" s="22"/>
      <c r="I70" s="22"/>
      <c r="J70" s="22"/>
      <c r="K7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19CA-63B1-5742-83F7-11EAA2CABEF7}">
  <dimension ref="C5:Q29"/>
  <sheetViews>
    <sheetView workbookViewId="0">
      <selection activeCell="E2" sqref="E2"/>
    </sheetView>
  </sheetViews>
  <sheetFormatPr baseColWidth="10" defaultRowHeight="16" x14ac:dyDescent="0.2"/>
  <sheetData>
    <row r="5" spans="3:17" x14ac:dyDescent="0.2">
      <c r="C5" s="35"/>
      <c r="D5" s="35" t="s">
        <v>228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6" spans="3:17" x14ac:dyDescent="0.2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</row>
    <row r="7" spans="3:17" x14ac:dyDescent="0.2"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</row>
    <row r="8" spans="3:17" x14ac:dyDescent="0.2">
      <c r="C8" s="35"/>
      <c r="D8" s="35"/>
      <c r="E8" s="35" t="s">
        <v>229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</row>
    <row r="9" spans="3:17" x14ac:dyDescent="0.2"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</row>
    <row r="10" spans="3:17" x14ac:dyDescent="0.2">
      <c r="C10" s="35"/>
      <c r="D10" s="35">
        <v>1</v>
      </c>
      <c r="E10" s="35" t="s">
        <v>230</v>
      </c>
      <c r="F10" s="35"/>
      <c r="G10" s="35"/>
      <c r="H10" s="35" t="s">
        <v>231</v>
      </c>
      <c r="I10" s="35"/>
      <c r="J10" s="35"/>
      <c r="K10" s="35"/>
      <c r="L10" s="35"/>
      <c r="M10" s="35"/>
      <c r="N10" s="35"/>
      <c r="O10" s="35" t="s">
        <v>232</v>
      </c>
      <c r="P10" s="35"/>
      <c r="Q10" s="35"/>
    </row>
    <row r="11" spans="3:17" x14ac:dyDescent="0.2"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3:17" x14ac:dyDescent="0.2">
      <c r="C12" s="35"/>
      <c r="D12" s="35">
        <v>2</v>
      </c>
      <c r="E12" s="35" t="s">
        <v>233</v>
      </c>
      <c r="F12" s="35"/>
      <c r="G12" s="35"/>
      <c r="H12" s="35"/>
      <c r="I12" s="35"/>
      <c r="J12" s="35" t="s">
        <v>234</v>
      </c>
      <c r="K12" s="35"/>
      <c r="L12" s="35"/>
      <c r="M12" s="35"/>
      <c r="N12" s="35"/>
      <c r="O12" s="35"/>
      <c r="P12" s="35"/>
      <c r="Q12" s="35"/>
    </row>
    <row r="13" spans="3:17" x14ac:dyDescent="0.2"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3:17" x14ac:dyDescent="0.2">
      <c r="C14" s="35"/>
      <c r="D14" s="35">
        <v>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</row>
    <row r="15" spans="3:17" x14ac:dyDescent="0.2"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</row>
    <row r="16" spans="3:17" x14ac:dyDescent="0.2"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</row>
    <row r="17" spans="3:17" x14ac:dyDescent="0.2"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</row>
    <row r="18" spans="3:17" x14ac:dyDescent="0.2"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</row>
    <row r="19" spans="3:17" x14ac:dyDescent="0.2"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</row>
    <row r="20" spans="3:17" x14ac:dyDescent="0.2"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</row>
    <row r="21" spans="3:17" x14ac:dyDescent="0.2"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</row>
    <row r="22" spans="3:17" x14ac:dyDescent="0.2"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</row>
    <row r="23" spans="3:17" x14ac:dyDescent="0.2"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</row>
    <row r="24" spans="3:17" x14ac:dyDescent="0.2"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</row>
    <row r="25" spans="3:17" x14ac:dyDescent="0.2"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</row>
    <row r="26" spans="3:17" x14ac:dyDescent="0.2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</row>
    <row r="27" spans="3:17" x14ac:dyDescent="0.2"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</row>
    <row r="28" spans="3:17" x14ac:dyDescent="0.2"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</row>
    <row r="29" spans="3:17" x14ac:dyDescent="0.2"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72A5-0253-A741-83FF-9166E900D67F}">
  <dimension ref="E5:Z39"/>
  <sheetViews>
    <sheetView topLeftCell="A20" zoomScale="119" zoomScaleNormal="151" workbookViewId="0">
      <selection activeCell="K39" sqref="K39"/>
    </sheetView>
  </sheetViews>
  <sheetFormatPr baseColWidth="10" defaultRowHeight="16" x14ac:dyDescent="0.2"/>
  <cols>
    <col min="26" max="26" width="13.6640625" customWidth="1"/>
  </cols>
  <sheetData>
    <row r="5" spans="6:26" x14ac:dyDescent="0.2">
      <c r="F5" t="s">
        <v>186</v>
      </c>
      <c r="H5" t="s">
        <v>187</v>
      </c>
      <c r="J5" t="s">
        <v>188</v>
      </c>
      <c r="L5" t="s">
        <v>189</v>
      </c>
      <c r="N5" t="s">
        <v>190</v>
      </c>
      <c r="P5" t="s">
        <v>191</v>
      </c>
      <c r="R5" t="s">
        <v>192</v>
      </c>
      <c r="T5" s="10" t="s">
        <v>194</v>
      </c>
      <c r="V5" t="s">
        <v>193</v>
      </c>
      <c r="X5" t="s">
        <v>195</v>
      </c>
      <c r="Z5" t="s">
        <v>196</v>
      </c>
    </row>
    <row r="8" spans="6:26" ht="102" x14ac:dyDescent="0.2">
      <c r="F8" s="1" t="s">
        <v>197</v>
      </c>
      <c r="H8" s="1" t="s">
        <v>198</v>
      </c>
      <c r="J8" s="1" t="s">
        <v>200</v>
      </c>
      <c r="L8" s="1" t="s">
        <v>202</v>
      </c>
      <c r="N8" s="1" t="s">
        <v>211</v>
      </c>
      <c r="P8" s="25" t="s">
        <v>209</v>
      </c>
      <c r="R8" s="1" t="s">
        <v>213</v>
      </c>
      <c r="T8" s="26" t="s">
        <v>208</v>
      </c>
      <c r="V8" s="28" t="s">
        <v>210</v>
      </c>
      <c r="Z8" s="1" t="s">
        <v>214</v>
      </c>
    </row>
    <row r="9" spans="6:26" x14ac:dyDescent="0.2">
      <c r="T9" s="27"/>
      <c r="V9" s="29"/>
    </row>
    <row r="10" spans="6:26" ht="51" x14ac:dyDescent="0.2">
      <c r="J10" s="1" t="s">
        <v>201</v>
      </c>
      <c r="L10" t="s">
        <v>151</v>
      </c>
      <c r="N10" s="1" t="s">
        <v>212</v>
      </c>
      <c r="R10" s="1" t="s">
        <v>212</v>
      </c>
      <c r="T10" s="27"/>
      <c r="V10" s="29"/>
    </row>
    <row r="11" spans="6:26" ht="51" x14ac:dyDescent="0.2">
      <c r="H11" s="1" t="s">
        <v>199</v>
      </c>
      <c r="T11" s="27"/>
      <c r="V11" s="29"/>
    </row>
    <row r="12" spans="6:26" ht="34" x14ac:dyDescent="0.2">
      <c r="J12" s="1" t="s">
        <v>216</v>
      </c>
      <c r="N12" t="s">
        <v>207</v>
      </c>
      <c r="T12" s="27"/>
      <c r="V12" s="29"/>
    </row>
    <row r="13" spans="6:26" x14ac:dyDescent="0.2">
      <c r="J13" t="s">
        <v>203</v>
      </c>
      <c r="T13" s="27"/>
      <c r="V13" s="29"/>
    </row>
    <row r="14" spans="6:26" ht="68" x14ac:dyDescent="0.2">
      <c r="J14" t="s">
        <v>85</v>
      </c>
      <c r="L14" s="1" t="s">
        <v>215</v>
      </c>
      <c r="N14" s="24" t="s">
        <v>203</v>
      </c>
      <c r="T14" s="27"/>
      <c r="V14" s="29"/>
    </row>
    <row r="15" spans="6:26" x14ac:dyDescent="0.2">
      <c r="N15" s="24"/>
      <c r="V15" s="29"/>
    </row>
    <row r="16" spans="6:26" x14ac:dyDescent="0.2">
      <c r="N16" s="24" t="s">
        <v>85</v>
      </c>
      <c r="V16" s="29"/>
    </row>
    <row r="17" spans="5:22" x14ac:dyDescent="0.2">
      <c r="J17" t="s">
        <v>205</v>
      </c>
      <c r="N17" s="24"/>
      <c r="V17" s="29"/>
    </row>
    <row r="18" spans="5:22" x14ac:dyDescent="0.2">
      <c r="J18" t="s">
        <v>206</v>
      </c>
      <c r="N18" s="24"/>
      <c r="V18" s="29"/>
    </row>
    <row r="19" spans="5:22" x14ac:dyDescent="0.2">
      <c r="J19" t="s">
        <v>204</v>
      </c>
    </row>
    <row r="25" spans="5:22" x14ac:dyDescent="0.2">
      <c r="E25" t="s">
        <v>217</v>
      </c>
    </row>
    <row r="28" spans="5:22" x14ac:dyDescent="0.2">
      <c r="H28" t="s">
        <v>218</v>
      </c>
    </row>
    <row r="30" spans="5:22" x14ac:dyDescent="0.2">
      <c r="H30" t="s">
        <v>219</v>
      </c>
    </row>
    <row r="32" spans="5:22" x14ac:dyDescent="0.2">
      <c r="H32" t="s">
        <v>220</v>
      </c>
    </row>
    <row r="34" spans="8:9" x14ac:dyDescent="0.2">
      <c r="H34" t="s">
        <v>224</v>
      </c>
    </row>
    <row r="35" spans="8:9" x14ac:dyDescent="0.2">
      <c r="I35" t="s">
        <v>225</v>
      </c>
    </row>
    <row r="36" spans="8:9" x14ac:dyDescent="0.2">
      <c r="I36" t="s">
        <v>226</v>
      </c>
    </row>
    <row r="39" spans="8:9" x14ac:dyDescent="0.2">
      <c r="H39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3460-829C-2D47-BA3B-E3D8AD7937FF}">
  <dimension ref="B3:Q23"/>
  <sheetViews>
    <sheetView workbookViewId="0">
      <selection activeCell="I23" sqref="I23"/>
    </sheetView>
  </sheetViews>
  <sheetFormatPr baseColWidth="10" defaultRowHeight="16" x14ac:dyDescent="0.2"/>
  <cols>
    <col min="9" max="9" width="12.6640625" bestFit="1" customWidth="1"/>
    <col min="17" max="17" width="13" bestFit="1" customWidth="1"/>
  </cols>
  <sheetData>
    <row r="3" spans="4:17" x14ac:dyDescent="0.2">
      <c r="F3" t="s">
        <v>221</v>
      </c>
    </row>
    <row r="5" spans="4:17" x14ac:dyDescent="0.2">
      <c r="E5">
        <v>71</v>
      </c>
      <c r="F5">
        <v>14</v>
      </c>
    </row>
    <row r="11" spans="4:17" x14ac:dyDescent="0.2">
      <c r="D11" s="11">
        <v>2100000</v>
      </c>
      <c r="E11">
        <v>71</v>
      </c>
      <c r="F11" s="31">
        <f>D11/E11</f>
        <v>29577.464788732395</v>
      </c>
      <c r="H11">
        <v>14</v>
      </c>
      <c r="I11" s="31">
        <f>F11/H11</f>
        <v>2112.676056338028</v>
      </c>
      <c r="K11" s="32">
        <v>1E-3</v>
      </c>
      <c r="M11" s="33">
        <f>I11*K11</f>
        <v>2.112676056338028</v>
      </c>
      <c r="N11" s="33">
        <f>M11*H11*E11</f>
        <v>2100</v>
      </c>
      <c r="O11" s="34">
        <v>30</v>
      </c>
      <c r="P11">
        <f>O11*N11</f>
        <v>63000</v>
      </c>
      <c r="Q11" s="30">
        <f>P11*30</f>
        <v>1890000</v>
      </c>
    </row>
    <row r="17" spans="2:9" x14ac:dyDescent="0.2">
      <c r="D17" s="11">
        <v>1000000</v>
      </c>
      <c r="E17">
        <v>71</v>
      </c>
      <c r="F17">
        <f>D17/E17</f>
        <v>14084.507042253521</v>
      </c>
      <c r="H17">
        <f>F17*1%</f>
        <v>140.8450704225352</v>
      </c>
      <c r="I17">
        <f>H17*30</f>
        <v>4225.3521126760561</v>
      </c>
    </row>
    <row r="21" spans="2:9" x14ac:dyDescent="0.2">
      <c r="B21" t="s">
        <v>222</v>
      </c>
      <c r="D21" s="11">
        <v>1000000</v>
      </c>
      <c r="H21">
        <f>D21*1%</f>
        <v>10000</v>
      </c>
      <c r="I21" s="30">
        <f>H21*30</f>
        <v>300000</v>
      </c>
    </row>
    <row r="23" spans="2:9" x14ac:dyDescent="0.2">
      <c r="B23" t="s">
        <v>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7E74-0013-CC42-BDC3-310D4F22E363}">
  <dimension ref="F6:X42"/>
  <sheetViews>
    <sheetView topLeftCell="G9" zoomScale="141" zoomScaleNormal="116" workbookViewId="0">
      <selection activeCell="P38" sqref="P38"/>
    </sheetView>
  </sheetViews>
  <sheetFormatPr baseColWidth="10" defaultRowHeight="16" x14ac:dyDescent="0.2"/>
  <cols>
    <col min="8" max="8" width="21.5" customWidth="1"/>
  </cols>
  <sheetData>
    <row r="6" spans="6:21" x14ac:dyDescent="0.2">
      <c r="F6" t="s">
        <v>69</v>
      </c>
      <c r="H6" t="s">
        <v>70</v>
      </c>
      <c r="N6" s="10">
        <v>45891</v>
      </c>
      <c r="T6" t="s">
        <v>78</v>
      </c>
    </row>
    <row r="9" spans="6:21" x14ac:dyDescent="0.2">
      <c r="H9" t="s">
        <v>71</v>
      </c>
      <c r="N9" t="s">
        <v>75</v>
      </c>
      <c r="T9" t="s">
        <v>79</v>
      </c>
    </row>
    <row r="11" spans="6:21" x14ac:dyDescent="0.2">
      <c r="I11" t="s">
        <v>72</v>
      </c>
      <c r="N11" t="s">
        <v>76</v>
      </c>
      <c r="O11" s="11">
        <v>800000</v>
      </c>
      <c r="P11" t="s">
        <v>77</v>
      </c>
      <c r="T11" t="s">
        <v>80</v>
      </c>
      <c r="U11" t="s">
        <v>81</v>
      </c>
    </row>
    <row r="13" spans="6:21" x14ac:dyDescent="0.2">
      <c r="I13" t="s">
        <v>52</v>
      </c>
      <c r="T13" t="s">
        <v>82</v>
      </c>
    </row>
    <row r="14" spans="6:21" x14ac:dyDescent="0.2">
      <c r="T14" t="s">
        <v>83</v>
      </c>
    </row>
    <row r="15" spans="6:21" x14ac:dyDescent="0.2">
      <c r="I15" t="s">
        <v>73</v>
      </c>
      <c r="T15" t="s">
        <v>84</v>
      </c>
    </row>
    <row r="16" spans="6:21" x14ac:dyDescent="0.2">
      <c r="N16" t="s">
        <v>93</v>
      </c>
      <c r="P16" t="s">
        <v>132</v>
      </c>
      <c r="T16" t="s">
        <v>85</v>
      </c>
    </row>
    <row r="17" spans="7:21" x14ac:dyDescent="0.2">
      <c r="I17" t="s">
        <v>74</v>
      </c>
    </row>
    <row r="18" spans="7:21" x14ac:dyDescent="0.2">
      <c r="H18" t="s">
        <v>101</v>
      </c>
    </row>
    <row r="20" spans="7:21" x14ac:dyDescent="0.2">
      <c r="H20" s="12" t="s">
        <v>0</v>
      </c>
      <c r="I20" s="12" t="s">
        <v>102</v>
      </c>
      <c r="J20" s="12"/>
      <c r="K20" t="s">
        <v>108</v>
      </c>
    </row>
    <row r="21" spans="7:21" x14ac:dyDescent="0.2">
      <c r="H21" s="12"/>
      <c r="I21" s="12"/>
      <c r="J21" s="12"/>
    </row>
    <row r="23" spans="7:21" x14ac:dyDescent="0.2">
      <c r="G23">
        <v>1</v>
      </c>
      <c r="H23" t="s">
        <v>86</v>
      </c>
      <c r="I23" t="s">
        <v>103</v>
      </c>
      <c r="K23" t="s">
        <v>104</v>
      </c>
      <c r="T23" t="s">
        <v>98</v>
      </c>
    </row>
    <row r="24" spans="7:21" x14ac:dyDescent="0.2">
      <c r="U24" t="s">
        <v>82</v>
      </c>
    </row>
    <row r="25" spans="7:21" x14ac:dyDescent="0.2">
      <c r="N25" t="s">
        <v>95</v>
      </c>
      <c r="U25" t="s">
        <v>83</v>
      </c>
    </row>
    <row r="27" spans="7:21" x14ac:dyDescent="0.2">
      <c r="G27">
        <v>3</v>
      </c>
      <c r="H27" s="15" t="s">
        <v>105</v>
      </c>
      <c r="I27" s="15"/>
      <c r="J27" s="15"/>
      <c r="K27" s="15" t="s">
        <v>106</v>
      </c>
      <c r="N27" t="s">
        <v>96</v>
      </c>
    </row>
    <row r="29" spans="7:21" x14ac:dyDescent="0.2">
      <c r="G29">
        <v>4</v>
      </c>
      <c r="H29" s="15" t="s">
        <v>71</v>
      </c>
      <c r="I29" s="15" t="s">
        <v>89</v>
      </c>
      <c r="J29" s="15"/>
      <c r="K29" s="15" t="s">
        <v>107</v>
      </c>
      <c r="N29" t="s">
        <v>97</v>
      </c>
      <c r="Q29" t="s">
        <v>115</v>
      </c>
    </row>
    <row r="31" spans="7:21" x14ac:dyDescent="0.2">
      <c r="G31">
        <v>5</v>
      </c>
      <c r="H31" t="s">
        <v>90</v>
      </c>
      <c r="I31" t="s">
        <v>91</v>
      </c>
      <c r="K31" t="s">
        <v>108</v>
      </c>
      <c r="N31" t="s">
        <v>100</v>
      </c>
    </row>
    <row r="32" spans="7:21" x14ac:dyDescent="0.2">
      <c r="J32" t="s">
        <v>109</v>
      </c>
    </row>
    <row r="33" spans="7:24" x14ac:dyDescent="0.2">
      <c r="G33">
        <v>6</v>
      </c>
      <c r="H33" s="12" t="s">
        <v>99</v>
      </c>
      <c r="I33" s="12"/>
      <c r="J33" s="12"/>
      <c r="K33" t="s">
        <v>108</v>
      </c>
      <c r="T33">
        <v>9</v>
      </c>
      <c r="U33" t="s">
        <v>113</v>
      </c>
      <c r="X33" t="s">
        <v>114</v>
      </c>
    </row>
    <row r="34" spans="7:24" x14ac:dyDescent="0.2">
      <c r="H34" s="12"/>
      <c r="I34" s="12"/>
      <c r="J34" s="12"/>
      <c r="N34" t="s">
        <v>124</v>
      </c>
    </row>
    <row r="35" spans="7:24" x14ac:dyDescent="0.2">
      <c r="G35">
        <v>7</v>
      </c>
      <c r="H35" s="12" t="s">
        <v>74</v>
      </c>
      <c r="I35" s="12"/>
      <c r="J35" s="12"/>
      <c r="K35" t="s">
        <v>108</v>
      </c>
    </row>
    <row r="38" spans="7:24" x14ac:dyDescent="0.2">
      <c r="G38">
        <v>2</v>
      </c>
      <c r="H38" t="s">
        <v>87</v>
      </c>
      <c r="I38" t="s">
        <v>88</v>
      </c>
      <c r="N38" t="s">
        <v>133</v>
      </c>
      <c r="O38" t="s">
        <v>134</v>
      </c>
    </row>
    <row r="40" spans="7:24" x14ac:dyDescent="0.2">
      <c r="G40">
        <v>8</v>
      </c>
      <c r="H40" s="13" t="s">
        <v>92</v>
      </c>
      <c r="I40" s="13" t="s">
        <v>110</v>
      </c>
      <c r="J40" s="13"/>
      <c r="K40" s="13" t="s">
        <v>112</v>
      </c>
    </row>
    <row r="42" spans="7:24" x14ac:dyDescent="0.2">
      <c r="H42" s="14"/>
      <c r="I42" s="14" t="s">
        <v>94</v>
      </c>
      <c r="J42" s="14"/>
      <c r="K42" s="14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9F96-6B56-7244-83C9-62AA8FF55EB2}">
  <dimension ref="D6:X76"/>
  <sheetViews>
    <sheetView topLeftCell="D6" zoomScale="149" workbookViewId="0">
      <selection activeCell="J22" sqref="J22"/>
    </sheetView>
  </sheetViews>
  <sheetFormatPr baseColWidth="10" defaultRowHeight="16" x14ac:dyDescent="0.2"/>
  <cols>
    <col min="4" max="4" width="19.83203125" customWidth="1"/>
    <col min="10" max="10" width="20.83203125" customWidth="1"/>
    <col min="13" max="13" width="16.33203125" customWidth="1"/>
    <col min="17" max="17" width="18.83203125" customWidth="1"/>
  </cols>
  <sheetData>
    <row r="6" spans="4:24" ht="34" x14ac:dyDescent="0.2">
      <c r="H6" t="s">
        <v>0</v>
      </c>
      <c r="M6" s="1" t="s">
        <v>51</v>
      </c>
      <c r="Q6" t="s">
        <v>1</v>
      </c>
      <c r="U6" t="s">
        <v>12</v>
      </c>
      <c r="X6" t="s">
        <v>60</v>
      </c>
    </row>
    <row r="7" spans="4:24" x14ac:dyDescent="0.2">
      <c r="U7" t="s">
        <v>63</v>
      </c>
    </row>
    <row r="8" spans="4:24" ht="68" x14ac:dyDescent="0.2">
      <c r="D8" t="s">
        <v>47</v>
      </c>
      <c r="H8" t="s">
        <v>2</v>
      </c>
      <c r="J8" s="1" t="s">
        <v>116</v>
      </c>
      <c r="M8" t="s">
        <v>52</v>
      </c>
      <c r="Q8" s="1" t="s">
        <v>11</v>
      </c>
      <c r="U8" s="1" t="s">
        <v>46</v>
      </c>
      <c r="X8" s="1" t="s">
        <v>61</v>
      </c>
    </row>
    <row r="10" spans="4:24" x14ac:dyDescent="0.2">
      <c r="H10" t="s">
        <v>4</v>
      </c>
      <c r="J10" t="s">
        <v>117</v>
      </c>
      <c r="K10" t="s">
        <v>118</v>
      </c>
      <c r="M10" t="s">
        <v>53</v>
      </c>
    </row>
    <row r="12" spans="4:24" x14ac:dyDescent="0.2">
      <c r="H12" t="s">
        <v>5</v>
      </c>
      <c r="J12" t="s">
        <v>7</v>
      </c>
    </row>
    <row r="14" spans="4:24" ht="51" x14ac:dyDescent="0.2">
      <c r="H14" s="1" t="s">
        <v>6</v>
      </c>
      <c r="J14" t="s">
        <v>7</v>
      </c>
      <c r="K14" s="1" t="s">
        <v>119</v>
      </c>
    </row>
    <row r="15" spans="4:24" x14ac:dyDescent="0.2">
      <c r="K15" t="s">
        <v>120</v>
      </c>
    </row>
    <row r="18" spans="8:10" x14ac:dyDescent="0.2">
      <c r="H18" t="s">
        <v>9</v>
      </c>
      <c r="J18" t="s">
        <v>55</v>
      </c>
    </row>
    <row r="19" spans="8:10" x14ac:dyDescent="0.2">
      <c r="H19" t="s">
        <v>10</v>
      </c>
    </row>
    <row r="22" spans="8:10" ht="34" x14ac:dyDescent="0.2">
      <c r="H22" s="1" t="s">
        <v>64</v>
      </c>
      <c r="J22" s="1" t="s">
        <v>66</v>
      </c>
    </row>
    <row r="24" spans="8:10" x14ac:dyDescent="0.2">
      <c r="I24" t="s">
        <v>122</v>
      </c>
      <c r="J24" t="s">
        <v>121</v>
      </c>
    </row>
    <row r="25" spans="8:10" x14ac:dyDescent="0.2">
      <c r="J25" t="s">
        <v>123</v>
      </c>
    </row>
    <row r="35" spans="4:17" ht="17" x14ac:dyDescent="0.2">
      <c r="D35" s="1" t="s">
        <v>48</v>
      </c>
      <c r="H35" t="s">
        <v>2</v>
      </c>
      <c r="J35" s="1" t="s">
        <v>3</v>
      </c>
      <c r="M35" t="s">
        <v>57</v>
      </c>
      <c r="Q35" s="1" t="s">
        <v>58</v>
      </c>
    </row>
    <row r="37" spans="4:17" ht="17" x14ac:dyDescent="0.2">
      <c r="H37" t="s">
        <v>4</v>
      </c>
      <c r="J37" s="1" t="s">
        <v>3</v>
      </c>
    </row>
    <row r="39" spans="4:17" x14ac:dyDescent="0.2">
      <c r="H39" t="s">
        <v>5</v>
      </c>
    </row>
    <row r="41" spans="4:17" ht="34" x14ac:dyDescent="0.2">
      <c r="H41" s="1" t="s">
        <v>6</v>
      </c>
      <c r="J41" t="s">
        <v>8</v>
      </c>
    </row>
    <row r="45" spans="4:17" x14ac:dyDescent="0.2">
      <c r="H45" t="s">
        <v>9</v>
      </c>
      <c r="I45" t="s">
        <v>54</v>
      </c>
    </row>
    <row r="46" spans="4:17" x14ac:dyDescent="0.2">
      <c r="H46" t="s">
        <v>10</v>
      </c>
    </row>
    <row r="48" spans="4:17" x14ac:dyDescent="0.2">
      <c r="H48" t="s">
        <v>65</v>
      </c>
    </row>
    <row r="54" spans="4:21" ht="51" x14ac:dyDescent="0.2">
      <c r="D54" s="1" t="s">
        <v>49</v>
      </c>
      <c r="H54" s="1" t="s">
        <v>56</v>
      </c>
      <c r="I54" t="s">
        <v>7</v>
      </c>
      <c r="M54" s="1"/>
      <c r="Q54" s="1" t="s">
        <v>62</v>
      </c>
    </row>
    <row r="63" spans="4:21" x14ac:dyDescent="0.2">
      <c r="U63" t="s">
        <v>59</v>
      </c>
    </row>
    <row r="76" spans="4:4" ht="17" x14ac:dyDescent="0.2">
      <c r="D76" s="1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FA84-F160-BE45-B215-C18F67D40076}">
  <dimension ref="D4:O60"/>
  <sheetViews>
    <sheetView workbookViewId="0">
      <selection activeCell="N31" sqref="N31"/>
    </sheetView>
  </sheetViews>
  <sheetFormatPr baseColWidth="10" defaultRowHeight="16" x14ac:dyDescent="0.2"/>
  <sheetData>
    <row r="4" spans="4:15" x14ac:dyDescent="0.2">
      <c r="D4" t="s">
        <v>28</v>
      </c>
      <c r="F4" t="s">
        <v>13</v>
      </c>
    </row>
    <row r="6" spans="4:15" x14ac:dyDescent="0.2"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4:15" x14ac:dyDescent="0.2">
      <c r="D7" s="5"/>
      <c r="E7" t="s">
        <v>14</v>
      </c>
      <c r="F7" t="s">
        <v>15</v>
      </c>
      <c r="O7" s="6"/>
    </row>
    <row r="8" spans="4:15" x14ac:dyDescent="0.2">
      <c r="D8" s="5"/>
      <c r="O8" s="6"/>
    </row>
    <row r="9" spans="4:15" x14ac:dyDescent="0.2">
      <c r="D9" s="5"/>
      <c r="E9" t="s">
        <v>16</v>
      </c>
      <c r="F9" t="s">
        <v>17</v>
      </c>
      <c r="O9" s="6"/>
    </row>
    <row r="10" spans="4:15" x14ac:dyDescent="0.2">
      <c r="D10" s="5"/>
      <c r="O10" s="6"/>
    </row>
    <row r="11" spans="4:15" x14ac:dyDescent="0.2">
      <c r="D11" s="5"/>
      <c r="F11" t="s">
        <v>18</v>
      </c>
      <c r="O11" s="6"/>
    </row>
    <row r="12" spans="4:15" x14ac:dyDescent="0.2">
      <c r="D12" s="5"/>
      <c r="O12" s="6"/>
    </row>
    <row r="13" spans="4:15" x14ac:dyDescent="0.2">
      <c r="D13" s="5"/>
      <c r="F13" t="s">
        <v>27</v>
      </c>
      <c r="O13" s="6"/>
    </row>
    <row r="14" spans="4:15" x14ac:dyDescent="0.2">
      <c r="D14" s="5"/>
      <c r="O14" s="6"/>
    </row>
    <row r="15" spans="4:15" x14ac:dyDescent="0.2"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</row>
    <row r="18" spans="5:13" x14ac:dyDescent="0.2">
      <c r="E18" t="s">
        <v>19</v>
      </c>
      <c r="F18" t="s">
        <v>20</v>
      </c>
    </row>
    <row r="19" spans="5:13" x14ac:dyDescent="0.2">
      <c r="M19" t="s">
        <v>67</v>
      </c>
    </row>
    <row r="21" spans="5:13" ht="34" x14ac:dyDescent="0.2">
      <c r="F21" t="s">
        <v>21</v>
      </c>
      <c r="G21" s="1" t="s">
        <v>24</v>
      </c>
      <c r="M21" t="s">
        <v>68</v>
      </c>
    </row>
    <row r="23" spans="5:13" x14ac:dyDescent="0.2">
      <c r="F23" t="s">
        <v>22</v>
      </c>
      <c r="G23" t="s">
        <v>23</v>
      </c>
    </row>
    <row r="25" spans="5:13" x14ac:dyDescent="0.2">
      <c r="F25" t="s">
        <v>25</v>
      </c>
    </row>
    <row r="26" spans="5:13" ht="68" x14ac:dyDescent="0.2">
      <c r="F26" s="1" t="s">
        <v>26</v>
      </c>
    </row>
    <row r="37" spans="4:12" x14ac:dyDescent="0.2">
      <c r="D37" t="s">
        <v>29</v>
      </c>
    </row>
    <row r="38" spans="4:12" ht="34" x14ac:dyDescent="0.2">
      <c r="D38" s="1" t="s">
        <v>30</v>
      </c>
      <c r="H38" t="s">
        <v>21</v>
      </c>
      <c r="I38" t="s">
        <v>31</v>
      </c>
      <c r="J38" t="s">
        <v>32</v>
      </c>
      <c r="K38" t="s">
        <v>37</v>
      </c>
      <c r="L38" s="1" t="s">
        <v>33</v>
      </c>
    </row>
    <row r="41" spans="4:12" ht="68" x14ac:dyDescent="0.2">
      <c r="H41" s="1" t="s">
        <v>34</v>
      </c>
      <c r="I41" s="1" t="s">
        <v>36</v>
      </c>
      <c r="J41" s="1" t="s">
        <v>39</v>
      </c>
      <c r="K41" s="1" t="s">
        <v>38</v>
      </c>
      <c r="L41" s="1" t="s">
        <v>35</v>
      </c>
    </row>
    <row r="45" spans="4:12" ht="85" x14ac:dyDescent="0.2">
      <c r="D45" s="1" t="s">
        <v>40</v>
      </c>
    </row>
    <row r="49" spans="4:6" ht="51" x14ac:dyDescent="0.2">
      <c r="D49" s="1" t="s">
        <v>41</v>
      </c>
    </row>
    <row r="52" spans="4:6" ht="85" x14ac:dyDescent="0.2">
      <c r="D52" s="1" t="s">
        <v>42</v>
      </c>
      <c r="E52" s="1" t="s">
        <v>43</v>
      </c>
    </row>
    <row r="60" spans="4:6" ht="34" x14ac:dyDescent="0.2">
      <c r="D60" t="s">
        <v>44</v>
      </c>
      <c r="F60" s="1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A8F6-7BD1-104D-9755-14874040F826}">
  <dimension ref="F8:L21"/>
  <sheetViews>
    <sheetView workbookViewId="0">
      <selection activeCell="J24" sqref="J24"/>
    </sheetView>
  </sheetViews>
  <sheetFormatPr baseColWidth="10" defaultRowHeight="16" x14ac:dyDescent="0.2"/>
  <sheetData>
    <row r="8" spans="6:12" x14ac:dyDescent="0.2">
      <c r="F8" t="s">
        <v>125</v>
      </c>
    </row>
    <row r="9" spans="6:12" x14ac:dyDescent="0.2">
      <c r="G9" t="s">
        <v>129</v>
      </c>
      <c r="H9" t="s">
        <v>126</v>
      </c>
    </row>
    <row r="11" spans="6:12" x14ac:dyDescent="0.2">
      <c r="I11" t="s">
        <v>127</v>
      </c>
    </row>
    <row r="12" spans="6:12" x14ac:dyDescent="0.2">
      <c r="K12" t="s">
        <v>6</v>
      </c>
    </row>
    <row r="14" spans="6:12" x14ac:dyDescent="0.2">
      <c r="L14" t="s">
        <v>128</v>
      </c>
    </row>
    <row r="19" spans="7:10" x14ac:dyDescent="0.2">
      <c r="G19">
        <v>2</v>
      </c>
      <c r="H19" t="s">
        <v>130</v>
      </c>
    </row>
    <row r="20" spans="7:10" x14ac:dyDescent="0.2">
      <c r="J20" t="s">
        <v>80</v>
      </c>
    </row>
    <row r="21" spans="7:10" x14ac:dyDescent="0.2">
      <c r="J2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MIESTONES</vt:lpstr>
      <vt:lpstr>TASK FLOW </vt:lpstr>
      <vt:lpstr>TASKS</vt:lpstr>
      <vt:lpstr>Sheet2</vt:lpstr>
      <vt:lpstr>JOSEPH</vt:lpstr>
      <vt:lpstr>DELIVERABLES</vt:lpstr>
      <vt:lpstr>Sheet1</vt:lpstr>
      <vt:lpstr>OBJECTIVES</vt:lpstr>
      <vt:lpstr>AUGUST 15th</vt:lpstr>
      <vt:lpstr>AI ML 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Talwar</dc:creator>
  <cp:lastModifiedBy>Puneet Talwar</cp:lastModifiedBy>
  <dcterms:created xsi:type="dcterms:W3CDTF">2025-07-31T18:38:58Z</dcterms:created>
  <dcterms:modified xsi:type="dcterms:W3CDTF">2025-10-17T17:46:33Z</dcterms:modified>
</cp:coreProperties>
</file>